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ySQL\Project_Marketing\"/>
    </mc:Choice>
  </mc:AlternateContent>
  <xr:revisionPtr revIDLastSave="0" documentId="13_ncr:1_{7939716E-0B71-4133-8C85-A5F2772A3C7E}" xr6:coauthVersionLast="47" xr6:coauthVersionMax="47" xr10:uidLastSave="{00000000-0000-0000-0000-000000000000}"/>
  <bookViews>
    <workbookView xWindow="768" yWindow="0" windowWidth="19440" windowHeight="12240" xr2:uid="{CCB9B5F4-A5C0-4BD9-A7AA-177AA2DCB781}"/>
  </bookViews>
  <sheets>
    <sheet name="Marketing_Analysis_Deep_New" sheetId="1" r:id="rId1"/>
  </sheets>
  <definedNames>
    <definedName name="_xlnm._FilterDatabase" localSheetId="0" hidden="1">Marketing_Analysis_Deep_New!$A$1:$L$485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2" i="1"/>
</calcChain>
</file>

<file path=xl/sharedStrings.xml><?xml version="1.0" encoding="utf-8"?>
<sst xmlns="http://schemas.openxmlformats.org/spreadsheetml/2006/main" count="980" uniqueCount="501">
  <si>
    <t>Campaign_ID</t>
  </si>
  <si>
    <t>Channel</t>
  </si>
  <si>
    <t>Budget</t>
  </si>
  <si>
    <t>Clicks</t>
  </si>
  <si>
    <t>Conversions</t>
  </si>
  <si>
    <t>CPC</t>
  </si>
  <si>
    <t>Total_Revenue</t>
  </si>
  <si>
    <t>Ad_CTR</t>
  </si>
  <si>
    <t>Bounce_Rate</t>
  </si>
  <si>
    <t>ROAS</t>
  </si>
  <si>
    <t>CAMP_1</t>
  </si>
  <si>
    <t>Facebook Ads</t>
  </si>
  <si>
    <t>CAMP_2</t>
  </si>
  <si>
    <t>LinkedIn Ads</t>
  </si>
  <si>
    <t>CAMP_3</t>
  </si>
  <si>
    <t>Google Ads</t>
  </si>
  <si>
    <t>CAMP_4</t>
  </si>
  <si>
    <t>Email Marketing</t>
  </si>
  <si>
    <t>CAMP_5</t>
  </si>
  <si>
    <t>TikTok Ads</t>
  </si>
  <si>
    <t>CAMP_6</t>
  </si>
  <si>
    <t>CAMP_7</t>
  </si>
  <si>
    <t>CAMP_8</t>
  </si>
  <si>
    <t>CAMP_9</t>
  </si>
  <si>
    <t>CAMP_10</t>
  </si>
  <si>
    <t>CAMP_11</t>
  </si>
  <si>
    <t>CAMP_12</t>
  </si>
  <si>
    <t>CAMP_13</t>
  </si>
  <si>
    <t>CAMP_14</t>
  </si>
  <si>
    <t>CAMP_15</t>
  </si>
  <si>
    <t>CAMP_16</t>
  </si>
  <si>
    <t>CAMP_17</t>
  </si>
  <si>
    <t>CAMP_18</t>
  </si>
  <si>
    <t>CAMP_19</t>
  </si>
  <si>
    <t>CAMP_20</t>
  </si>
  <si>
    <t>CAMP_21</t>
  </si>
  <si>
    <t>CAMP_22</t>
  </si>
  <si>
    <t>CAMP_23</t>
  </si>
  <si>
    <t>CAMP_24</t>
  </si>
  <si>
    <t>CAMP_25</t>
  </si>
  <si>
    <t>CAMP_26</t>
  </si>
  <si>
    <t>CAMP_27</t>
  </si>
  <si>
    <t>CAMP_28</t>
  </si>
  <si>
    <t>CAMP_29</t>
  </si>
  <si>
    <t>CAMP_30</t>
  </si>
  <si>
    <t>CAMP_31</t>
  </si>
  <si>
    <t>CAMP_32</t>
  </si>
  <si>
    <t>CAMP_34</t>
  </si>
  <si>
    <t>CAMP_35</t>
  </si>
  <si>
    <t>CAMP_36</t>
  </si>
  <si>
    <t>CAMP_37</t>
  </si>
  <si>
    <t>CAMP_38</t>
  </si>
  <si>
    <t>CAMP_39</t>
  </si>
  <si>
    <t>CAMP_40</t>
  </si>
  <si>
    <t>CAMP_41</t>
  </si>
  <si>
    <t>CAMP_42</t>
  </si>
  <si>
    <t>CAMP_43</t>
  </si>
  <si>
    <t>CAMP_44</t>
  </si>
  <si>
    <t>CAMP_45</t>
  </si>
  <si>
    <t>CAMP_46</t>
  </si>
  <si>
    <t>CAMP_47</t>
  </si>
  <si>
    <t>CAMP_48</t>
  </si>
  <si>
    <t>CAMP_49</t>
  </si>
  <si>
    <t>CAMP_50</t>
  </si>
  <si>
    <t>CAMP_51</t>
  </si>
  <si>
    <t>CAMP_52</t>
  </si>
  <si>
    <t>CAMP_54</t>
  </si>
  <si>
    <t>CAMP_55</t>
  </si>
  <si>
    <t>CAMP_56</t>
  </si>
  <si>
    <t>CAMP_57</t>
  </si>
  <si>
    <t>CAMP_58</t>
  </si>
  <si>
    <t>CAMP_59</t>
  </si>
  <si>
    <t>CAMP_60</t>
  </si>
  <si>
    <t>CAMP_61</t>
  </si>
  <si>
    <t>CAMP_62</t>
  </si>
  <si>
    <t>CAMP_63</t>
  </si>
  <si>
    <t>CAMP_64</t>
  </si>
  <si>
    <t>CAMP_65</t>
  </si>
  <si>
    <t>CAMP_66</t>
  </si>
  <si>
    <t>CAMP_67</t>
  </si>
  <si>
    <t>CAMP_68</t>
  </si>
  <si>
    <t>CAMP_69</t>
  </si>
  <si>
    <t>CAMP_70</t>
  </si>
  <si>
    <t>CAMP_71</t>
  </si>
  <si>
    <t>CAMP_72</t>
  </si>
  <si>
    <t>CAMP_73</t>
  </si>
  <si>
    <t>CAMP_74</t>
  </si>
  <si>
    <t>CAMP_75</t>
  </si>
  <si>
    <t>CAMP_76</t>
  </si>
  <si>
    <t>CAMP_78</t>
  </si>
  <si>
    <t>CAMP_79</t>
  </si>
  <si>
    <t>CAMP_80</t>
  </si>
  <si>
    <t>CAMP_81</t>
  </si>
  <si>
    <t>CAMP_82</t>
  </si>
  <si>
    <t>CAMP_83</t>
  </si>
  <si>
    <t>CAMP_84</t>
  </si>
  <si>
    <t>CAMP_85</t>
  </si>
  <si>
    <t>CAMP_86</t>
  </si>
  <si>
    <t>CAMP_87</t>
  </si>
  <si>
    <t>CAMP_88</t>
  </si>
  <si>
    <t>CAMP_89</t>
  </si>
  <si>
    <t>CAMP_90</t>
  </si>
  <si>
    <t>CAMP_91</t>
  </si>
  <si>
    <t>CAMP_92</t>
  </si>
  <si>
    <t>CAMP_93</t>
  </si>
  <si>
    <t>CAMP_94</t>
  </si>
  <si>
    <t>CAMP_95</t>
  </si>
  <si>
    <t>CAMP_96</t>
  </si>
  <si>
    <t>CAMP_97</t>
  </si>
  <si>
    <t>CAMP_98</t>
  </si>
  <si>
    <t>CAMP_99</t>
  </si>
  <si>
    <t>CAMP_100</t>
  </si>
  <si>
    <t>CAMP_101</t>
  </si>
  <si>
    <t>CAMP_102</t>
  </si>
  <si>
    <t>CAMP_103</t>
  </si>
  <si>
    <t>CAMP_104</t>
  </si>
  <si>
    <t>CAMP_105</t>
  </si>
  <si>
    <t>CAMP_106</t>
  </si>
  <si>
    <t>CAMP_107</t>
  </si>
  <si>
    <t>CAMP_108</t>
  </si>
  <si>
    <t>CAMP_109</t>
  </si>
  <si>
    <t>CAMP_110</t>
  </si>
  <si>
    <t>CAMP_111</t>
  </si>
  <si>
    <t>CAMP_112</t>
  </si>
  <si>
    <t>CAMP_113</t>
  </si>
  <si>
    <t>CAMP_114</t>
  </si>
  <si>
    <t>CAMP_115</t>
  </si>
  <si>
    <t>CAMP_116</t>
  </si>
  <si>
    <t>CAMP_117</t>
  </si>
  <si>
    <t>CAMP_118</t>
  </si>
  <si>
    <t>CAMP_119</t>
  </si>
  <si>
    <t>CAMP_120</t>
  </si>
  <si>
    <t>CAMP_121</t>
  </si>
  <si>
    <t>CAMP_122</t>
  </si>
  <si>
    <t>CAMP_123</t>
  </si>
  <si>
    <t>CAMP_124</t>
  </si>
  <si>
    <t>CAMP_125</t>
  </si>
  <si>
    <t>CAMP_126</t>
  </si>
  <si>
    <t>CAMP_127</t>
  </si>
  <si>
    <t>CAMP_128</t>
  </si>
  <si>
    <t>CAMP_129</t>
  </si>
  <si>
    <t>CAMP_130</t>
  </si>
  <si>
    <t>CAMP_131</t>
  </si>
  <si>
    <t>CAMP_132</t>
  </si>
  <si>
    <t>CAMP_133</t>
  </si>
  <si>
    <t>CAMP_134</t>
  </si>
  <si>
    <t>CAMP_135</t>
  </si>
  <si>
    <t>CAMP_136</t>
  </si>
  <si>
    <t>CAMP_137</t>
  </si>
  <si>
    <t>CAMP_138</t>
  </si>
  <si>
    <t>CAMP_139</t>
  </si>
  <si>
    <t>CAMP_140</t>
  </si>
  <si>
    <t>CAMP_141</t>
  </si>
  <si>
    <t>CAMP_142</t>
  </si>
  <si>
    <t>CAMP_143</t>
  </si>
  <si>
    <t>CAMP_144</t>
  </si>
  <si>
    <t>CAMP_145</t>
  </si>
  <si>
    <t>CAMP_146</t>
  </si>
  <si>
    <t>CAMP_147</t>
  </si>
  <si>
    <t>CAMP_148</t>
  </si>
  <si>
    <t>CAMP_149</t>
  </si>
  <si>
    <t>CAMP_150</t>
  </si>
  <si>
    <t>CAMP_151</t>
  </si>
  <si>
    <t>CAMP_152</t>
  </si>
  <si>
    <t>CAMP_153</t>
  </si>
  <si>
    <t>CAMP_154</t>
  </si>
  <si>
    <t>CAMP_155</t>
  </si>
  <si>
    <t>CAMP_156</t>
  </si>
  <si>
    <t>CAMP_157</t>
  </si>
  <si>
    <t>CAMP_158</t>
  </si>
  <si>
    <t>CAMP_159</t>
  </si>
  <si>
    <t>CAMP_160</t>
  </si>
  <si>
    <t>CAMP_161</t>
  </si>
  <si>
    <t>CAMP_162</t>
  </si>
  <si>
    <t>CAMP_163</t>
  </si>
  <si>
    <t>CAMP_165</t>
  </si>
  <si>
    <t>CAMP_167</t>
  </si>
  <si>
    <t>CAMP_168</t>
  </si>
  <si>
    <t>CAMP_169</t>
  </si>
  <si>
    <t>CAMP_170</t>
  </si>
  <si>
    <t>CAMP_171</t>
  </si>
  <si>
    <t>CAMP_173</t>
  </si>
  <si>
    <t>CAMP_174</t>
  </si>
  <si>
    <t>CAMP_175</t>
  </si>
  <si>
    <t>CAMP_176</t>
  </si>
  <si>
    <t>CAMP_177</t>
  </si>
  <si>
    <t>CAMP_178</t>
  </si>
  <si>
    <t>CAMP_179</t>
  </si>
  <si>
    <t>CAMP_180</t>
  </si>
  <si>
    <t>CAMP_181</t>
  </si>
  <si>
    <t>CAMP_182</t>
  </si>
  <si>
    <t>CAMP_183</t>
  </si>
  <si>
    <t>CAMP_184</t>
  </si>
  <si>
    <t>CAMP_185</t>
  </si>
  <si>
    <t>CAMP_186</t>
  </si>
  <si>
    <t>CAMP_187</t>
  </si>
  <si>
    <t>CAMP_188</t>
  </si>
  <si>
    <t>CAMP_189</t>
  </si>
  <si>
    <t>CAMP_190</t>
  </si>
  <si>
    <t>CAMP_191</t>
  </si>
  <si>
    <t>CAMP_192</t>
  </si>
  <si>
    <t>CAMP_193</t>
  </si>
  <si>
    <t>CAMP_194</t>
  </si>
  <si>
    <t>CAMP_195</t>
  </si>
  <si>
    <t>CAMP_196</t>
  </si>
  <si>
    <t>CAMP_197</t>
  </si>
  <si>
    <t>CAMP_198</t>
  </si>
  <si>
    <t>CAMP_199</t>
  </si>
  <si>
    <t>CAMP_200</t>
  </si>
  <si>
    <t>CAMP_201</t>
  </si>
  <si>
    <t>CAMP_202</t>
  </si>
  <si>
    <t>CAMP_203</t>
  </si>
  <si>
    <t>CAMP_204</t>
  </si>
  <si>
    <t>CAMP_205</t>
  </si>
  <si>
    <t>CAMP_206</t>
  </si>
  <si>
    <t>CAMP_207</t>
  </si>
  <si>
    <t>CAMP_208</t>
  </si>
  <si>
    <t>CAMP_209</t>
  </si>
  <si>
    <t>CAMP_210</t>
  </si>
  <si>
    <t>CAMP_211</t>
  </si>
  <si>
    <t>CAMP_212</t>
  </si>
  <si>
    <t>CAMP_213</t>
  </si>
  <si>
    <t>CAMP_215</t>
  </si>
  <si>
    <t>CAMP_216</t>
  </si>
  <si>
    <t>CAMP_217</t>
  </si>
  <si>
    <t>CAMP_218</t>
  </si>
  <si>
    <t>CAMP_219</t>
  </si>
  <si>
    <t>CAMP_220</t>
  </si>
  <si>
    <t>CAMP_221</t>
  </si>
  <si>
    <t>CAMP_222</t>
  </si>
  <si>
    <t>CAMP_223</t>
  </si>
  <si>
    <t>CAMP_224</t>
  </si>
  <si>
    <t>CAMP_225</t>
  </si>
  <si>
    <t>CAMP_226</t>
  </si>
  <si>
    <t>CAMP_227</t>
  </si>
  <si>
    <t>CAMP_228</t>
  </si>
  <si>
    <t>CAMP_229</t>
  </si>
  <si>
    <t>CAMP_231</t>
  </si>
  <si>
    <t>CAMP_232</t>
  </si>
  <si>
    <t>CAMP_233</t>
  </si>
  <si>
    <t>CAMP_234</t>
  </si>
  <si>
    <t>CAMP_235</t>
  </si>
  <si>
    <t>CAMP_237</t>
  </si>
  <si>
    <t>CAMP_238</t>
  </si>
  <si>
    <t>CAMP_239</t>
  </si>
  <si>
    <t>CAMP_240</t>
  </si>
  <si>
    <t>CAMP_241</t>
  </si>
  <si>
    <t>CAMP_242</t>
  </si>
  <si>
    <t>CAMP_243</t>
  </si>
  <si>
    <t>CAMP_244</t>
  </si>
  <si>
    <t>CAMP_245</t>
  </si>
  <si>
    <t>CAMP_247</t>
  </si>
  <si>
    <t>CAMP_248</t>
  </si>
  <si>
    <t>CAMP_249</t>
  </si>
  <si>
    <t>CAMP_251</t>
  </si>
  <si>
    <t>CAMP_252</t>
  </si>
  <si>
    <t>CAMP_253</t>
  </si>
  <si>
    <t>CAMP_254</t>
  </si>
  <si>
    <t>CAMP_255</t>
  </si>
  <si>
    <t>CAMP_256</t>
  </si>
  <si>
    <t>CAMP_257</t>
  </si>
  <si>
    <t>CAMP_258</t>
  </si>
  <si>
    <t>CAMP_259</t>
  </si>
  <si>
    <t>CAMP_260</t>
  </si>
  <si>
    <t>CAMP_261</t>
  </si>
  <si>
    <t>CAMP_262</t>
  </si>
  <si>
    <t>CAMP_263</t>
  </si>
  <si>
    <t>CAMP_264</t>
  </si>
  <si>
    <t>CAMP_265</t>
  </si>
  <si>
    <t>CAMP_266</t>
  </si>
  <si>
    <t>CAMP_267</t>
  </si>
  <si>
    <t>CAMP_268</t>
  </si>
  <si>
    <t>CAMP_269</t>
  </si>
  <si>
    <t>CAMP_270</t>
  </si>
  <si>
    <t>CAMP_271</t>
  </si>
  <si>
    <t>CAMP_272</t>
  </si>
  <si>
    <t>CAMP_273</t>
  </si>
  <si>
    <t>CAMP_274</t>
  </si>
  <si>
    <t>CAMP_275</t>
  </si>
  <si>
    <t>CAMP_276</t>
  </si>
  <si>
    <t>CAMP_277</t>
  </si>
  <si>
    <t>CAMP_278</t>
  </si>
  <si>
    <t>CAMP_279</t>
  </si>
  <si>
    <t>CAMP_280</t>
  </si>
  <si>
    <t>CAMP_281</t>
  </si>
  <si>
    <t>CAMP_282</t>
  </si>
  <si>
    <t>CAMP_283</t>
  </si>
  <si>
    <t>CAMP_284</t>
  </si>
  <si>
    <t>CAMP_285</t>
  </si>
  <si>
    <t>CAMP_286</t>
  </si>
  <si>
    <t>CAMP_287</t>
  </si>
  <si>
    <t>CAMP_288</t>
  </si>
  <si>
    <t>CAMP_289</t>
  </si>
  <si>
    <t>CAMP_290</t>
  </si>
  <si>
    <t>CAMP_291</t>
  </si>
  <si>
    <t>CAMP_292</t>
  </si>
  <si>
    <t>CAMP_293</t>
  </si>
  <si>
    <t>CAMP_294</t>
  </si>
  <si>
    <t>CAMP_295</t>
  </si>
  <si>
    <t>CAMP_296</t>
  </si>
  <si>
    <t>CAMP_297</t>
  </si>
  <si>
    <t>CAMP_298</t>
  </si>
  <si>
    <t>CAMP_299</t>
  </si>
  <si>
    <t>CAMP_300</t>
  </si>
  <si>
    <t>CAMP_301</t>
  </si>
  <si>
    <t>CAMP_302</t>
  </si>
  <si>
    <t>CAMP_303</t>
  </si>
  <si>
    <t>CAMP_304</t>
  </si>
  <si>
    <t>CAMP_305</t>
  </si>
  <si>
    <t>CAMP_306</t>
  </si>
  <si>
    <t>CAMP_307</t>
  </si>
  <si>
    <t>CAMP_308</t>
  </si>
  <si>
    <t>CAMP_309</t>
  </si>
  <si>
    <t>CAMP_310</t>
  </si>
  <si>
    <t>CAMP_311</t>
  </si>
  <si>
    <t>CAMP_312</t>
  </si>
  <si>
    <t>CAMP_313</t>
  </si>
  <si>
    <t>CAMP_314</t>
  </si>
  <si>
    <t>CAMP_315</t>
  </si>
  <si>
    <t>CAMP_316</t>
  </si>
  <si>
    <t>CAMP_317</t>
  </si>
  <si>
    <t>CAMP_318</t>
  </si>
  <si>
    <t>CAMP_319</t>
  </si>
  <si>
    <t>CAMP_320</t>
  </si>
  <si>
    <t>CAMP_321</t>
  </si>
  <si>
    <t>CAMP_322</t>
  </si>
  <si>
    <t>CAMP_323</t>
  </si>
  <si>
    <t>CAMP_324</t>
  </si>
  <si>
    <t>CAMP_325</t>
  </si>
  <si>
    <t>CAMP_326</t>
  </si>
  <si>
    <t>CAMP_327</t>
  </si>
  <si>
    <t>CAMP_328</t>
  </si>
  <si>
    <t>CAMP_329</t>
  </si>
  <si>
    <t>CAMP_330</t>
  </si>
  <si>
    <t>CAMP_331</t>
  </si>
  <si>
    <t>CAMP_332</t>
  </si>
  <si>
    <t>CAMP_333</t>
  </si>
  <si>
    <t>CAMP_334</t>
  </si>
  <si>
    <t>CAMP_335</t>
  </si>
  <si>
    <t>CAMP_336</t>
  </si>
  <si>
    <t>CAMP_337</t>
  </si>
  <si>
    <t>CAMP_338</t>
  </si>
  <si>
    <t>CAMP_339</t>
  </si>
  <si>
    <t>CAMP_340</t>
  </si>
  <si>
    <t>CAMP_341</t>
  </si>
  <si>
    <t>CAMP_342</t>
  </si>
  <si>
    <t>CAMP_343</t>
  </si>
  <si>
    <t>CAMP_344</t>
  </si>
  <si>
    <t>CAMP_345</t>
  </si>
  <si>
    <t>CAMP_346</t>
  </si>
  <si>
    <t>CAMP_347</t>
  </si>
  <si>
    <t>CAMP_348</t>
  </si>
  <si>
    <t>CAMP_349</t>
  </si>
  <si>
    <t>CAMP_350</t>
  </si>
  <si>
    <t>CAMP_351</t>
  </si>
  <si>
    <t>CAMP_352</t>
  </si>
  <si>
    <t>CAMP_353</t>
  </si>
  <si>
    <t>CAMP_354</t>
  </si>
  <si>
    <t>CAMP_355</t>
  </si>
  <si>
    <t>CAMP_356</t>
  </si>
  <si>
    <t>CAMP_357</t>
  </si>
  <si>
    <t>CAMP_358</t>
  </si>
  <si>
    <t>CAMP_359</t>
  </si>
  <si>
    <t>CAMP_360</t>
  </si>
  <si>
    <t>CAMP_361</t>
  </si>
  <si>
    <t>CAMP_362</t>
  </si>
  <si>
    <t>CAMP_363</t>
  </si>
  <si>
    <t>CAMP_364</t>
  </si>
  <si>
    <t>CAMP_365</t>
  </si>
  <si>
    <t>CAMP_366</t>
  </si>
  <si>
    <t>CAMP_367</t>
  </si>
  <si>
    <t>CAMP_368</t>
  </si>
  <si>
    <t>CAMP_369</t>
  </si>
  <si>
    <t>CAMP_370</t>
  </si>
  <si>
    <t>CAMP_371</t>
  </si>
  <si>
    <t>CAMP_372</t>
  </si>
  <si>
    <t>CAMP_373</t>
  </si>
  <si>
    <t>CAMP_374</t>
  </si>
  <si>
    <t>CAMP_375</t>
  </si>
  <si>
    <t>CAMP_376</t>
  </si>
  <si>
    <t>CAMP_377</t>
  </si>
  <si>
    <t>CAMP_378</t>
  </si>
  <si>
    <t>CAMP_379</t>
  </si>
  <si>
    <t>CAMP_380</t>
  </si>
  <si>
    <t>CAMP_381</t>
  </si>
  <si>
    <t>CAMP_382</t>
  </si>
  <si>
    <t>CAMP_383</t>
  </si>
  <si>
    <t>CAMP_384</t>
  </si>
  <si>
    <t>CAMP_385</t>
  </si>
  <si>
    <t>CAMP_386</t>
  </si>
  <si>
    <t>CAMP_387</t>
  </si>
  <si>
    <t>CAMP_388</t>
  </si>
  <si>
    <t>CAMP_390</t>
  </si>
  <si>
    <t>CAMP_391</t>
  </si>
  <si>
    <t>CAMP_392</t>
  </si>
  <si>
    <t>CAMP_393</t>
  </si>
  <si>
    <t>CAMP_394</t>
  </si>
  <si>
    <t>CAMP_395</t>
  </si>
  <si>
    <t>CAMP_396</t>
  </si>
  <si>
    <t>CAMP_397</t>
  </si>
  <si>
    <t>CAMP_398</t>
  </si>
  <si>
    <t>CAMP_399</t>
  </si>
  <si>
    <t>CAMP_400</t>
  </si>
  <si>
    <t>CAMP_401</t>
  </si>
  <si>
    <t>CAMP_402</t>
  </si>
  <si>
    <t>CAMP_403</t>
  </si>
  <si>
    <t>CAMP_404</t>
  </si>
  <si>
    <t>CAMP_405</t>
  </si>
  <si>
    <t>CAMP_406</t>
  </si>
  <si>
    <t>CAMP_407</t>
  </si>
  <si>
    <t>CAMP_408</t>
  </si>
  <si>
    <t>CAMP_409</t>
  </si>
  <si>
    <t>CAMP_410</t>
  </si>
  <si>
    <t>CAMP_411</t>
  </si>
  <si>
    <t>CAMP_412</t>
  </si>
  <si>
    <t>CAMP_413</t>
  </si>
  <si>
    <t>CAMP_414</t>
  </si>
  <si>
    <t>CAMP_415</t>
  </si>
  <si>
    <t>CAMP_416</t>
  </si>
  <si>
    <t>CAMP_417</t>
  </si>
  <si>
    <t>CAMP_418</t>
  </si>
  <si>
    <t>CAMP_419</t>
  </si>
  <si>
    <t>CAMP_420</t>
  </si>
  <si>
    <t>CAMP_421</t>
  </si>
  <si>
    <t>CAMP_422</t>
  </si>
  <si>
    <t>CAMP_423</t>
  </si>
  <si>
    <t>CAMP_424</t>
  </si>
  <si>
    <t>CAMP_425</t>
  </si>
  <si>
    <t>CAMP_426</t>
  </si>
  <si>
    <t>CAMP_427</t>
  </si>
  <si>
    <t>CAMP_428</t>
  </si>
  <si>
    <t>CAMP_429</t>
  </si>
  <si>
    <t>CAMP_430</t>
  </si>
  <si>
    <t>CAMP_431</t>
  </si>
  <si>
    <t>CAMP_432</t>
  </si>
  <si>
    <t>CAMP_433</t>
  </si>
  <si>
    <t>CAMP_434</t>
  </si>
  <si>
    <t>CAMP_435</t>
  </si>
  <si>
    <t>CAMP_436</t>
  </si>
  <si>
    <t>CAMP_437</t>
  </si>
  <si>
    <t>CAMP_438</t>
  </si>
  <si>
    <t>CAMP_439</t>
  </si>
  <si>
    <t>CAMP_440</t>
  </si>
  <si>
    <t>CAMP_441</t>
  </si>
  <si>
    <t>CAMP_442</t>
  </si>
  <si>
    <t>CAMP_443</t>
  </si>
  <si>
    <t>CAMP_444</t>
  </si>
  <si>
    <t>CAMP_445</t>
  </si>
  <si>
    <t>CAMP_446</t>
  </si>
  <si>
    <t>CAMP_447</t>
  </si>
  <si>
    <t>CAMP_448</t>
  </si>
  <si>
    <t>CAMP_449</t>
  </si>
  <si>
    <t>CAMP_450</t>
  </si>
  <si>
    <t>CAMP_451</t>
  </si>
  <si>
    <t>CAMP_452</t>
  </si>
  <si>
    <t>CAMP_453</t>
  </si>
  <si>
    <t>CAMP_454</t>
  </si>
  <si>
    <t>CAMP_455</t>
  </si>
  <si>
    <t>CAMP_456</t>
  </si>
  <si>
    <t>CAMP_457</t>
  </si>
  <si>
    <t>CAMP_458</t>
  </si>
  <si>
    <t>CAMP_459</t>
  </si>
  <si>
    <t>CAMP_460</t>
  </si>
  <si>
    <t>CAMP_461</t>
  </si>
  <si>
    <t>CAMP_462</t>
  </si>
  <si>
    <t>CAMP_463</t>
  </si>
  <si>
    <t>CAMP_464</t>
  </si>
  <si>
    <t>CAMP_465</t>
  </si>
  <si>
    <t>CAMP_466</t>
  </si>
  <si>
    <t>CAMP_467</t>
  </si>
  <si>
    <t>CAMP_468</t>
  </si>
  <si>
    <t>CAMP_470</t>
  </si>
  <si>
    <t>CAMP_471</t>
  </si>
  <si>
    <t>CAMP_472</t>
  </si>
  <si>
    <t>CAMP_473</t>
  </si>
  <si>
    <t>CAMP_474</t>
  </si>
  <si>
    <t>CAMP_475</t>
  </si>
  <si>
    <t>CAMP_476</t>
  </si>
  <si>
    <t>CAMP_477</t>
  </si>
  <si>
    <t>CAMP_479</t>
  </si>
  <si>
    <t>CAMP_480</t>
  </si>
  <si>
    <t>CAMP_481</t>
  </si>
  <si>
    <t>CAMP_482</t>
  </si>
  <si>
    <t>CAMP_483</t>
  </si>
  <si>
    <t>CAMP_484</t>
  </si>
  <si>
    <t>CAMP_485</t>
  </si>
  <si>
    <t>CAMP_487</t>
  </si>
  <si>
    <t>CAMP_488</t>
  </si>
  <si>
    <t>CAMP_489</t>
  </si>
  <si>
    <t>CAMP_490</t>
  </si>
  <si>
    <t>CAMP_491</t>
  </si>
  <si>
    <t>CAMP_492</t>
  </si>
  <si>
    <t>CAMP_493</t>
  </si>
  <si>
    <t>CAMP_494</t>
  </si>
  <si>
    <t>CAMP_495</t>
  </si>
  <si>
    <t>CAMP_497</t>
  </si>
  <si>
    <t>CAMP_498</t>
  </si>
  <si>
    <t>CAMP_499</t>
  </si>
  <si>
    <t>CAMP_500</t>
  </si>
  <si>
    <t>Check_Errors</t>
  </si>
  <si>
    <t>Check_Conversions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</si>
</sst>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1BFC-8F7F-46EF-89D5-BD51AFFA8E22}">
  <sheetPr codeName="Sheet1"/>
  <dimension ref="A1:L485"/>
  <sheetViews>
    <sheetView tabSelected="1" topLeftCell="A76" workbookViewId="0">
      <selection activeCell="M9" sqref="M9"/>
    </sheetView>
  </sheetViews>
  <sheetFormatPr defaultRowHeight="14.4" x14ac:dyDescent="0.3"/>
  <cols>
    <col min="12" max="12" width="19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499</v>
      </c>
      <c r="L1" t="s">
        <v>500</v>
      </c>
    </row>
    <row r="2" spans="1:12" x14ac:dyDescent="0.3">
      <c r="A2" t="s">
        <v>10</v>
      </c>
      <c r="B2" t="s">
        <v>11</v>
      </c>
      <c r="C2">
        <v>13937245</v>
      </c>
      <c r="D2">
        <v>19163</v>
      </c>
      <c r="E2">
        <v>2399</v>
      </c>
      <c r="F2">
        <f>IF(D2 = 0,FALSE,ROUND(C2/D2,2))</f>
        <v>727.3</v>
      </c>
      <c r="G2">
        <v>49603042</v>
      </c>
      <c r="H2">
        <v>0.1038</v>
      </c>
      <c r="I2">
        <v>0.57999999999999996</v>
      </c>
      <c r="J2">
        <v>3.56</v>
      </c>
      <c r="K2" t="b">
        <f xml:space="preserve"> IF(E2&gt;D2,FALSE,TRUE)</f>
        <v>1</v>
      </c>
      <c r="L2" t="b">
        <f>IF(E2/D2*100&gt;50,FALSE,TRUE)</f>
        <v>1</v>
      </c>
    </row>
    <row r="3" spans="1:12" x14ac:dyDescent="0.3">
      <c r="A3" t="s">
        <v>12</v>
      </c>
      <c r="B3" t="s">
        <v>13</v>
      </c>
      <c r="C3">
        <v>35421615</v>
      </c>
      <c r="D3">
        <v>8716</v>
      </c>
      <c r="E3">
        <v>1429</v>
      </c>
      <c r="F3">
        <f t="shared" ref="F3:F64" si="0">IF(D3 = 0,FALSE,ROUND(C3/D3,2))</f>
        <v>4063.98</v>
      </c>
      <c r="G3">
        <v>64225101</v>
      </c>
      <c r="H3">
        <v>7.4899999999999994E-2</v>
      </c>
      <c r="I3">
        <v>0.52</v>
      </c>
      <c r="J3">
        <v>1.81</v>
      </c>
      <c r="K3" t="b">
        <f t="shared" ref="K3:K64" si="1" xml:space="preserve"> IF(E3&gt;D3,FALSE,TRUE)</f>
        <v>1</v>
      </c>
      <c r="L3" t="b">
        <f t="shared" ref="L3:L64" si="2">IF(E3/D3*100&gt;50,FALSE,TRUE)</f>
        <v>1</v>
      </c>
    </row>
    <row r="4" spans="1:12" x14ac:dyDescent="0.3">
      <c r="A4" t="s">
        <v>14</v>
      </c>
      <c r="B4" t="s">
        <v>15</v>
      </c>
      <c r="C4">
        <v>24204653</v>
      </c>
      <c r="D4">
        <v>23177</v>
      </c>
      <c r="E4">
        <v>2767</v>
      </c>
      <c r="F4">
        <f t="shared" si="0"/>
        <v>1044.3399999999999</v>
      </c>
      <c r="G4">
        <v>59656616</v>
      </c>
      <c r="H4">
        <v>0.105</v>
      </c>
      <c r="I4">
        <v>0.69</v>
      </c>
      <c r="J4">
        <v>2.46</v>
      </c>
      <c r="K4" t="b">
        <f t="shared" si="1"/>
        <v>1</v>
      </c>
      <c r="L4" t="b">
        <f t="shared" si="2"/>
        <v>1</v>
      </c>
    </row>
    <row r="5" spans="1:12" x14ac:dyDescent="0.3">
      <c r="A5" t="s">
        <v>16</v>
      </c>
      <c r="B5" t="s">
        <v>17</v>
      </c>
      <c r="C5">
        <v>6248145</v>
      </c>
      <c r="D5">
        <v>26061</v>
      </c>
      <c r="E5">
        <v>1490</v>
      </c>
      <c r="F5">
        <f t="shared" si="0"/>
        <v>239.75</v>
      </c>
      <c r="G5">
        <v>59523399</v>
      </c>
      <c r="H5">
        <v>0.16139999999999999</v>
      </c>
      <c r="I5">
        <v>0.65</v>
      </c>
      <c r="J5">
        <v>9.5299999999999994</v>
      </c>
      <c r="K5" t="b">
        <f t="shared" si="1"/>
        <v>1</v>
      </c>
      <c r="L5" t="b">
        <f t="shared" si="2"/>
        <v>1</v>
      </c>
    </row>
    <row r="6" spans="1:12" x14ac:dyDescent="0.3">
      <c r="A6" t="s">
        <v>18</v>
      </c>
      <c r="B6" t="s">
        <v>19</v>
      </c>
      <c r="C6">
        <v>41419330</v>
      </c>
      <c r="D6">
        <v>8388</v>
      </c>
      <c r="E6">
        <v>2984</v>
      </c>
      <c r="F6">
        <f t="shared" si="0"/>
        <v>4937.93</v>
      </c>
      <c r="G6">
        <v>70199824</v>
      </c>
      <c r="H6">
        <v>0.16650000000000001</v>
      </c>
      <c r="I6">
        <v>0.36</v>
      </c>
      <c r="J6">
        <v>1.69</v>
      </c>
      <c r="K6" t="b">
        <f t="shared" si="1"/>
        <v>1</v>
      </c>
      <c r="L6" t="b">
        <f t="shared" si="2"/>
        <v>1</v>
      </c>
    </row>
    <row r="7" spans="1:12" x14ac:dyDescent="0.3">
      <c r="A7" t="s">
        <v>20</v>
      </c>
      <c r="B7" t="s">
        <v>17</v>
      </c>
      <c r="C7">
        <v>6422315</v>
      </c>
      <c r="D7">
        <v>46707</v>
      </c>
      <c r="E7">
        <v>2371</v>
      </c>
      <c r="F7">
        <f t="shared" si="0"/>
        <v>137.5</v>
      </c>
      <c r="G7">
        <v>96494946</v>
      </c>
      <c r="H7">
        <v>0.1963</v>
      </c>
      <c r="I7">
        <v>0.67</v>
      </c>
      <c r="J7">
        <v>15.02</v>
      </c>
      <c r="K7" t="b">
        <f t="shared" si="1"/>
        <v>1</v>
      </c>
      <c r="L7" t="b">
        <f t="shared" si="2"/>
        <v>1</v>
      </c>
    </row>
    <row r="8" spans="1:12" x14ac:dyDescent="0.3">
      <c r="A8" t="s">
        <v>21</v>
      </c>
      <c r="B8" t="s">
        <v>13</v>
      </c>
      <c r="C8">
        <v>42821518</v>
      </c>
      <c r="D8">
        <v>3938</v>
      </c>
      <c r="E8">
        <v>374</v>
      </c>
      <c r="F8">
        <f t="shared" si="0"/>
        <v>10873.93</v>
      </c>
      <c r="G8">
        <v>32935135</v>
      </c>
      <c r="H8">
        <v>3.8300000000000001E-2</v>
      </c>
      <c r="I8">
        <v>0.63</v>
      </c>
      <c r="J8">
        <v>0.77</v>
      </c>
      <c r="K8" t="b">
        <f t="shared" si="1"/>
        <v>1</v>
      </c>
      <c r="L8" t="b">
        <f t="shared" si="2"/>
        <v>1</v>
      </c>
    </row>
    <row r="9" spans="1:12" x14ac:dyDescent="0.3">
      <c r="A9" t="s">
        <v>22</v>
      </c>
      <c r="B9" t="s">
        <v>19</v>
      </c>
      <c r="C9">
        <v>43789342</v>
      </c>
      <c r="D9">
        <v>28964</v>
      </c>
      <c r="E9">
        <v>96</v>
      </c>
      <c r="F9">
        <f t="shared" si="0"/>
        <v>1511.85</v>
      </c>
      <c r="G9">
        <v>83419142</v>
      </c>
      <c r="H9">
        <v>5.1299999999999998E-2</v>
      </c>
      <c r="I9">
        <v>0.39</v>
      </c>
      <c r="J9">
        <v>1.91</v>
      </c>
      <c r="K9" t="b">
        <f t="shared" si="1"/>
        <v>1</v>
      </c>
      <c r="L9" t="b">
        <f t="shared" si="2"/>
        <v>1</v>
      </c>
    </row>
    <row r="10" spans="1:12" x14ac:dyDescent="0.3">
      <c r="A10" t="s">
        <v>23</v>
      </c>
      <c r="B10" t="s">
        <v>19</v>
      </c>
      <c r="C10">
        <v>36612067</v>
      </c>
      <c r="D10">
        <v>44409</v>
      </c>
      <c r="E10">
        <v>2397</v>
      </c>
      <c r="F10">
        <f t="shared" si="0"/>
        <v>824.43</v>
      </c>
      <c r="G10">
        <v>46809714</v>
      </c>
      <c r="H10">
        <v>5.8900000000000001E-2</v>
      </c>
      <c r="I10">
        <v>0.77</v>
      </c>
      <c r="J10">
        <v>1.28</v>
      </c>
      <c r="K10" t="b">
        <f t="shared" si="1"/>
        <v>1</v>
      </c>
      <c r="L10" t="b">
        <f t="shared" si="2"/>
        <v>1</v>
      </c>
    </row>
    <row r="11" spans="1:12" x14ac:dyDescent="0.3">
      <c r="A11" t="s">
        <v>24</v>
      </c>
      <c r="B11" t="s">
        <v>13</v>
      </c>
      <c r="C11">
        <v>13970116</v>
      </c>
      <c r="D11">
        <v>19008</v>
      </c>
      <c r="E11">
        <v>960</v>
      </c>
      <c r="F11">
        <f t="shared" si="0"/>
        <v>734.96</v>
      </c>
      <c r="G11">
        <v>96181549</v>
      </c>
      <c r="H11">
        <v>4.2000000000000003E-2</v>
      </c>
      <c r="I11">
        <v>0.79</v>
      </c>
      <c r="J11">
        <v>6.88</v>
      </c>
      <c r="K11" t="b">
        <f t="shared" si="1"/>
        <v>1</v>
      </c>
      <c r="L11" t="b">
        <f t="shared" si="2"/>
        <v>1</v>
      </c>
    </row>
    <row r="12" spans="1:12" x14ac:dyDescent="0.3">
      <c r="A12" t="s">
        <v>25</v>
      </c>
      <c r="B12" t="s">
        <v>17</v>
      </c>
      <c r="C12">
        <v>30795703</v>
      </c>
      <c r="D12">
        <v>21218</v>
      </c>
      <c r="E12">
        <v>1320</v>
      </c>
      <c r="F12">
        <f t="shared" si="0"/>
        <v>1451.4</v>
      </c>
      <c r="G12">
        <v>47829275</v>
      </c>
      <c r="H12">
        <v>5.79E-2</v>
      </c>
      <c r="I12">
        <v>0.48</v>
      </c>
      <c r="J12">
        <v>1.55</v>
      </c>
      <c r="K12" t="b">
        <f t="shared" si="1"/>
        <v>1</v>
      </c>
      <c r="L12" t="b">
        <f t="shared" si="2"/>
        <v>1</v>
      </c>
    </row>
    <row r="13" spans="1:12" x14ac:dyDescent="0.3">
      <c r="A13" t="s">
        <v>26</v>
      </c>
      <c r="B13" t="s">
        <v>15</v>
      </c>
      <c r="C13">
        <v>35498624</v>
      </c>
      <c r="D13">
        <v>35545</v>
      </c>
      <c r="E13">
        <v>2783</v>
      </c>
      <c r="F13">
        <f t="shared" si="0"/>
        <v>998.7</v>
      </c>
      <c r="G13">
        <v>62000282</v>
      </c>
      <c r="H13">
        <v>0.1825</v>
      </c>
      <c r="I13">
        <v>0.45</v>
      </c>
      <c r="J13">
        <v>1.75</v>
      </c>
      <c r="K13" t="b">
        <f t="shared" si="1"/>
        <v>1</v>
      </c>
      <c r="L13" t="b">
        <f t="shared" si="2"/>
        <v>1</v>
      </c>
    </row>
    <row r="14" spans="1:12" x14ac:dyDescent="0.3">
      <c r="A14" t="s">
        <v>27</v>
      </c>
      <c r="B14" t="s">
        <v>11</v>
      </c>
      <c r="C14">
        <v>30255254</v>
      </c>
      <c r="D14">
        <v>31798</v>
      </c>
      <c r="E14">
        <v>2629</v>
      </c>
      <c r="F14">
        <f t="shared" si="0"/>
        <v>951.48</v>
      </c>
      <c r="G14">
        <v>41419242</v>
      </c>
      <c r="H14">
        <v>6.8699999999999997E-2</v>
      </c>
      <c r="I14">
        <v>0.45</v>
      </c>
      <c r="J14">
        <v>1.37</v>
      </c>
      <c r="K14" t="b">
        <f t="shared" si="1"/>
        <v>1</v>
      </c>
      <c r="L14" t="b">
        <f t="shared" si="2"/>
        <v>1</v>
      </c>
    </row>
    <row r="15" spans="1:12" x14ac:dyDescent="0.3">
      <c r="A15" t="s">
        <v>28</v>
      </c>
      <c r="B15" t="s">
        <v>13</v>
      </c>
      <c r="C15">
        <v>18688264</v>
      </c>
      <c r="D15">
        <v>39365</v>
      </c>
      <c r="E15">
        <v>2196</v>
      </c>
      <c r="F15">
        <f t="shared" si="0"/>
        <v>474.74</v>
      </c>
      <c r="G15">
        <v>75305895</v>
      </c>
      <c r="H15">
        <v>4.7500000000000001E-2</v>
      </c>
      <c r="I15">
        <v>0.6</v>
      </c>
      <c r="J15">
        <v>4.03</v>
      </c>
      <c r="K15" t="b">
        <f t="shared" si="1"/>
        <v>1</v>
      </c>
      <c r="L15" t="b">
        <f t="shared" si="2"/>
        <v>1</v>
      </c>
    </row>
    <row r="16" spans="1:12" x14ac:dyDescent="0.3">
      <c r="A16" t="s">
        <v>29</v>
      </c>
      <c r="B16" t="s">
        <v>13</v>
      </c>
      <c r="C16">
        <v>15583887</v>
      </c>
      <c r="D16">
        <v>43800</v>
      </c>
      <c r="E16">
        <v>1007</v>
      </c>
      <c r="F16">
        <f t="shared" si="0"/>
        <v>355.8</v>
      </c>
      <c r="G16">
        <v>33151062</v>
      </c>
      <c r="H16">
        <v>7.4399999999999994E-2</v>
      </c>
      <c r="I16">
        <v>0.52</v>
      </c>
      <c r="J16">
        <v>2.13</v>
      </c>
      <c r="K16" t="b">
        <f t="shared" si="1"/>
        <v>1</v>
      </c>
      <c r="L16" t="b">
        <f t="shared" si="2"/>
        <v>1</v>
      </c>
    </row>
    <row r="17" spans="1:12" x14ac:dyDescent="0.3">
      <c r="A17" t="s">
        <v>30</v>
      </c>
      <c r="B17" t="s">
        <v>19</v>
      </c>
      <c r="C17">
        <v>26103919</v>
      </c>
      <c r="D17">
        <v>26683</v>
      </c>
      <c r="E17">
        <v>2170</v>
      </c>
      <c r="F17">
        <f t="shared" si="0"/>
        <v>978.3</v>
      </c>
      <c r="G17">
        <v>13019751</v>
      </c>
      <c r="H17">
        <v>4.8500000000000001E-2</v>
      </c>
      <c r="I17">
        <v>0.57999999999999996</v>
      </c>
      <c r="J17">
        <v>0.5</v>
      </c>
      <c r="K17" t="b">
        <f t="shared" si="1"/>
        <v>1</v>
      </c>
      <c r="L17" t="b">
        <f t="shared" si="2"/>
        <v>1</v>
      </c>
    </row>
    <row r="18" spans="1:12" x14ac:dyDescent="0.3">
      <c r="A18" t="s">
        <v>31</v>
      </c>
      <c r="B18" t="s">
        <v>13</v>
      </c>
      <c r="C18">
        <v>7417115</v>
      </c>
      <c r="D18">
        <v>11574</v>
      </c>
      <c r="E18">
        <v>2124</v>
      </c>
      <c r="F18">
        <f t="shared" si="0"/>
        <v>640.84</v>
      </c>
      <c r="G18">
        <v>94801281</v>
      </c>
      <c r="H18">
        <v>2.0500000000000001E-2</v>
      </c>
      <c r="I18">
        <v>0.74</v>
      </c>
      <c r="J18">
        <v>12.78</v>
      </c>
      <c r="K18" t="b">
        <f t="shared" si="1"/>
        <v>1</v>
      </c>
      <c r="L18" t="b">
        <f t="shared" si="2"/>
        <v>1</v>
      </c>
    </row>
    <row r="19" spans="1:12" x14ac:dyDescent="0.3">
      <c r="A19" t="s">
        <v>32</v>
      </c>
      <c r="B19" t="s">
        <v>17</v>
      </c>
      <c r="C19">
        <v>26610741</v>
      </c>
      <c r="D19">
        <v>8732</v>
      </c>
      <c r="E19">
        <v>1023</v>
      </c>
      <c r="F19">
        <f t="shared" si="0"/>
        <v>3047.5</v>
      </c>
      <c r="G19">
        <v>66966962</v>
      </c>
      <c r="H19">
        <v>4.5900000000000003E-2</v>
      </c>
      <c r="I19">
        <v>0.35</v>
      </c>
      <c r="J19">
        <v>2.52</v>
      </c>
      <c r="K19" t="b">
        <f t="shared" si="1"/>
        <v>1</v>
      </c>
      <c r="L19" t="b">
        <f t="shared" si="2"/>
        <v>1</v>
      </c>
    </row>
    <row r="20" spans="1:12" x14ac:dyDescent="0.3">
      <c r="A20" t="s">
        <v>33</v>
      </c>
      <c r="B20" t="s">
        <v>17</v>
      </c>
      <c r="C20">
        <v>7003313</v>
      </c>
      <c r="D20">
        <v>26816</v>
      </c>
      <c r="E20">
        <v>1564</v>
      </c>
      <c r="F20">
        <f t="shared" si="0"/>
        <v>261.16000000000003</v>
      </c>
      <c r="G20">
        <v>91878050</v>
      </c>
      <c r="H20">
        <v>1.0699999999999999E-2</v>
      </c>
      <c r="I20">
        <v>0.25</v>
      </c>
      <c r="J20">
        <v>13.12</v>
      </c>
      <c r="K20" t="b">
        <f t="shared" si="1"/>
        <v>1</v>
      </c>
      <c r="L20" t="b">
        <f t="shared" si="2"/>
        <v>1</v>
      </c>
    </row>
    <row r="21" spans="1:12" x14ac:dyDescent="0.3">
      <c r="A21" t="s">
        <v>34</v>
      </c>
      <c r="B21" t="s">
        <v>11</v>
      </c>
      <c r="C21">
        <v>47499612</v>
      </c>
      <c r="D21">
        <v>15513</v>
      </c>
      <c r="E21">
        <v>2259</v>
      </c>
      <c r="F21">
        <f t="shared" si="0"/>
        <v>3061.92</v>
      </c>
      <c r="G21">
        <v>27205188</v>
      </c>
      <c r="H21">
        <v>3.7999999999999999E-2</v>
      </c>
      <c r="I21">
        <v>0.63</v>
      </c>
      <c r="J21">
        <v>0.56999999999999995</v>
      </c>
      <c r="K21" t="b">
        <f t="shared" si="1"/>
        <v>1</v>
      </c>
      <c r="L21" t="b">
        <f t="shared" si="2"/>
        <v>1</v>
      </c>
    </row>
    <row r="22" spans="1:12" x14ac:dyDescent="0.3">
      <c r="A22" t="s">
        <v>35</v>
      </c>
      <c r="B22" t="s">
        <v>13</v>
      </c>
      <c r="C22">
        <v>17831502</v>
      </c>
      <c r="D22">
        <v>29712</v>
      </c>
      <c r="E22">
        <v>2959</v>
      </c>
      <c r="F22">
        <f t="shared" si="0"/>
        <v>600.14</v>
      </c>
      <c r="G22">
        <v>51843810</v>
      </c>
      <c r="H22">
        <v>0.1489</v>
      </c>
      <c r="I22">
        <v>0.5</v>
      </c>
      <c r="J22">
        <v>2.91</v>
      </c>
      <c r="K22" t="b">
        <f t="shared" si="1"/>
        <v>1</v>
      </c>
      <c r="L22" t="b">
        <f t="shared" si="2"/>
        <v>1</v>
      </c>
    </row>
    <row r="23" spans="1:12" x14ac:dyDescent="0.3">
      <c r="A23" t="s">
        <v>36</v>
      </c>
      <c r="B23" t="s">
        <v>13</v>
      </c>
      <c r="C23">
        <v>34665004</v>
      </c>
      <c r="D23">
        <v>21698</v>
      </c>
      <c r="E23">
        <v>134</v>
      </c>
      <c r="F23">
        <f t="shared" si="0"/>
        <v>1597.61</v>
      </c>
      <c r="G23">
        <v>80128127</v>
      </c>
      <c r="H23">
        <v>0.19009999999999999</v>
      </c>
      <c r="I23">
        <v>0.62</v>
      </c>
      <c r="J23">
        <v>2.31</v>
      </c>
      <c r="K23" t="b">
        <f t="shared" si="1"/>
        <v>1</v>
      </c>
      <c r="L23" t="b">
        <f t="shared" si="2"/>
        <v>1</v>
      </c>
    </row>
    <row r="24" spans="1:12" x14ac:dyDescent="0.3">
      <c r="A24" t="s">
        <v>37</v>
      </c>
      <c r="B24" t="s">
        <v>17</v>
      </c>
      <c r="C24">
        <v>16946594</v>
      </c>
      <c r="D24">
        <v>28258</v>
      </c>
      <c r="E24">
        <v>912</v>
      </c>
      <c r="F24">
        <f t="shared" si="0"/>
        <v>599.71</v>
      </c>
      <c r="G24">
        <v>59508572</v>
      </c>
      <c r="H24">
        <v>0.15909999999999999</v>
      </c>
      <c r="I24">
        <v>0.49</v>
      </c>
      <c r="J24">
        <v>3.51</v>
      </c>
      <c r="K24" t="b">
        <f t="shared" si="1"/>
        <v>1</v>
      </c>
      <c r="L24" t="b">
        <f t="shared" si="2"/>
        <v>1</v>
      </c>
    </row>
    <row r="25" spans="1:12" x14ac:dyDescent="0.3">
      <c r="A25" t="s">
        <v>38</v>
      </c>
      <c r="B25" t="s">
        <v>15</v>
      </c>
      <c r="C25">
        <v>24777669</v>
      </c>
      <c r="D25">
        <v>10297</v>
      </c>
      <c r="E25">
        <v>330</v>
      </c>
      <c r="F25">
        <f t="shared" si="0"/>
        <v>2406.3000000000002</v>
      </c>
      <c r="G25">
        <v>75491100</v>
      </c>
      <c r="H25">
        <v>0.15040000000000001</v>
      </c>
      <c r="I25">
        <v>0.23</v>
      </c>
      <c r="J25">
        <v>3.05</v>
      </c>
      <c r="K25" t="b">
        <f t="shared" si="1"/>
        <v>1</v>
      </c>
      <c r="L25" t="b">
        <f t="shared" si="2"/>
        <v>1</v>
      </c>
    </row>
    <row r="26" spans="1:12" x14ac:dyDescent="0.3">
      <c r="A26" t="s">
        <v>39</v>
      </c>
      <c r="B26" t="s">
        <v>13</v>
      </c>
      <c r="C26">
        <v>41079114</v>
      </c>
      <c r="D26">
        <v>49471</v>
      </c>
      <c r="E26">
        <v>2042</v>
      </c>
      <c r="F26">
        <f t="shared" si="0"/>
        <v>830.37</v>
      </c>
      <c r="G26">
        <v>38769817</v>
      </c>
      <c r="H26">
        <v>4.1599999999999998E-2</v>
      </c>
      <c r="I26">
        <v>0.28000000000000003</v>
      </c>
      <c r="J26">
        <v>0.94</v>
      </c>
      <c r="K26" t="b">
        <f t="shared" si="1"/>
        <v>1</v>
      </c>
      <c r="L26" t="b">
        <f t="shared" si="2"/>
        <v>1</v>
      </c>
    </row>
    <row r="27" spans="1:12" x14ac:dyDescent="0.3">
      <c r="A27" t="s">
        <v>40</v>
      </c>
      <c r="B27" t="s">
        <v>19</v>
      </c>
      <c r="C27">
        <v>8522300</v>
      </c>
      <c r="D27">
        <v>37996</v>
      </c>
      <c r="E27">
        <v>1939</v>
      </c>
      <c r="F27">
        <f t="shared" si="0"/>
        <v>224.29</v>
      </c>
      <c r="G27">
        <v>85754917</v>
      </c>
      <c r="H27">
        <v>5.33E-2</v>
      </c>
      <c r="I27">
        <v>0.44</v>
      </c>
      <c r="J27">
        <v>10.06</v>
      </c>
      <c r="K27" t="b">
        <f t="shared" si="1"/>
        <v>1</v>
      </c>
      <c r="L27" t="b">
        <f t="shared" si="2"/>
        <v>1</v>
      </c>
    </row>
    <row r="28" spans="1:12" x14ac:dyDescent="0.3">
      <c r="A28" t="s">
        <v>41</v>
      </c>
      <c r="B28" t="s">
        <v>15</v>
      </c>
      <c r="C28">
        <v>31194281</v>
      </c>
      <c r="D28">
        <v>47925</v>
      </c>
      <c r="E28">
        <v>2176</v>
      </c>
      <c r="F28">
        <f t="shared" si="0"/>
        <v>650.9</v>
      </c>
      <c r="G28">
        <v>92472275</v>
      </c>
      <c r="H28">
        <v>4.6100000000000002E-2</v>
      </c>
      <c r="I28">
        <v>0.31</v>
      </c>
      <c r="J28">
        <v>2.96</v>
      </c>
      <c r="K28" t="b">
        <f t="shared" si="1"/>
        <v>1</v>
      </c>
      <c r="L28" t="b">
        <f t="shared" si="2"/>
        <v>1</v>
      </c>
    </row>
    <row r="29" spans="1:12" x14ac:dyDescent="0.3">
      <c r="A29" t="s">
        <v>42</v>
      </c>
      <c r="B29" t="s">
        <v>15</v>
      </c>
      <c r="C29">
        <v>16505144</v>
      </c>
      <c r="D29">
        <v>31696</v>
      </c>
      <c r="E29">
        <v>1345</v>
      </c>
      <c r="F29">
        <f t="shared" si="0"/>
        <v>520.73</v>
      </c>
      <c r="G29">
        <v>37808968</v>
      </c>
      <c r="H29">
        <v>5.8400000000000001E-2</v>
      </c>
      <c r="I29">
        <v>0.75</v>
      </c>
      <c r="J29">
        <v>2.29</v>
      </c>
      <c r="K29" t="b">
        <f t="shared" si="1"/>
        <v>1</v>
      </c>
      <c r="L29" t="b">
        <f t="shared" si="2"/>
        <v>1</v>
      </c>
    </row>
    <row r="30" spans="1:12" x14ac:dyDescent="0.3">
      <c r="A30" t="s">
        <v>43</v>
      </c>
      <c r="B30" t="s">
        <v>11</v>
      </c>
      <c r="C30">
        <v>41785470</v>
      </c>
      <c r="D30">
        <v>34946</v>
      </c>
      <c r="E30">
        <v>2907</v>
      </c>
      <c r="F30">
        <f t="shared" si="0"/>
        <v>1195.72</v>
      </c>
      <c r="G30">
        <v>99606129</v>
      </c>
      <c r="H30">
        <v>0.15210000000000001</v>
      </c>
      <c r="I30">
        <v>0.54</v>
      </c>
      <c r="J30">
        <v>2.38</v>
      </c>
      <c r="K30" t="b">
        <f t="shared" si="1"/>
        <v>1</v>
      </c>
      <c r="L30" t="b">
        <f t="shared" si="2"/>
        <v>1</v>
      </c>
    </row>
    <row r="31" spans="1:12" x14ac:dyDescent="0.3">
      <c r="A31" t="s">
        <v>44</v>
      </c>
      <c r="B31" t="s">
        <v>15</v>
      </c>
      <c r="C31">
        <v>19187082</v>
      </c>
      <c r="D31">
        <v>40314</v>
      </c>
      <c r="E31">
        <v>2107</v>
      </c>
      <c r="F31">
        <f t="shared" si="0"/>
        <v>475.94</v>
      </c>
      <c r="G31">
        <v>44709154</v>
      </c>
      <c r="H31">
        <v>0.1527</v>
      </c>
      <c r="I31">
        <v>0.55000000000000004</v>
      </c>
      <c r="J31">
        <v>2.33</v>
      </c>
      <c r="K31" t="b">
        <f t="shared" si="1"/>
        <v>1</v>
      </c>
      <c r="L31" t="b">
        <f t="shared" si="2"/>
        <v>1</v>
      </c>
    </row>
    <row r="32" spans="1:12" x14ac:dyDescent="0.3">
      <c r="A32" t="s">
        <v>45</v>
      </c>
      <c r="B32" t="s">
        <v>17</v>
      </c>
      <c r="C32">
        <v>10608058</v>
      </c>
      <c r="D32">
        <v>22398</v>
      </c>
      <c r="E32">
        <v>123</v>
      </c>
      <c r="F32">
        <f t="shared" si="0"/>
        <v>473.62</v>
      </c>
      <c r="G32">
        <v>72958204</v>
      </c>
      <c r="H32">
        <v>3.5900000000000001E-2</v>
      </c>
      <c r="I32">
        <v>0.28000000000000003</v>
      </c>
      <c r="J32">
        <v>6.88</v>
      </c>
      <c r="K32" t="b">
        <f t="shared" si="1"/>
        <v>1</v>
      </c>
      <c r="L32" t="b">
        <f t="shared" si="2"/>
        <v>1</v>
      </c>
    </row>
    <row r="33" spans="1:12" x14ac:dyDescent="0.3">
      <c r="A33" t="s">
        <v>46</v>
      </c>
      <c r="B33" t="s">
        <v>19</v>
      </c>
      <c r="C33">
        <v>39866031</v>
      </c>
      <c r="D33">
        <v>24054</v>
      </c>
      <c r="E33">
        <v>2150</v>
      </c>
      <c r="F33">
        <f t="shared" si="0"/>
        <v>1657.36</v>
      </c>
      <c r="G33">
        <v>93405304</v>
      </c>
      <c r="H33">
        <v>3.1399999999999997E-2</v>
      </c>
      <c r="I33">
        <v>0.27</v>
      </c>
      <c r="J33">
        <v>2.34</v>
      </c>
      <c r="K33" t="b">
        <f t="shared" si="1"/>
        <v>1</v>
      </c>
      <c r="L33" t="b">
        <f t="shared" si="2"/>
        <v>1</v>
      </c>
    </row>
    <row r="34" spans="1:12" x14ac:dyDescent="0.3">
      <c r="A34" t="s">
        <v>47</v>
      </c>
      <c r="B34" t="s">
        <v>19</v>
      </c>
      <c r="C34">
        <v>10662317</v>
      </c>
      <c r="D34">
        <v>44818</v>
      </c>
      <c r="E34">
        <v>596</v>
      </c>
      <c r="F34">
        <f t="shared" si="0"/>
        <v>237.9</v>
      </c>
      <c r="G34">
        <v>26092078</v>
      </c>
      <c r="H34">
        <v>0.13569999999999999</v>
      </c>
      <c r="I34">
        <v>0.21</v>
      </c>
      <c r="J34">
        <v>2.4500000000000002</v>
      </c>
      <c r="K34" t="b">
        <f t="shared" si="1"/>
        <v>1</v>
      </c>
      <c r="L34" t="b">
        <f t="shared" si="2"/>
        <v>1</v>
      </c>
    </row>
    <row r="35" spans="1:12" x14ac:dyDescent="0.3">
      <c r="A35" t="s">
        <v>48</v>
      </c>
      <c r="B35" t="s">
        <v>17</v>
      </c>
      <c r="C35">
        <v>30620385</v>
      </c>
      <c r="D35">
        <v>3771</v>
      </c>
      <c r="E35">
        <v>1218</v>
      </c>
      <c r="F35">
        <f t="shared" si="0"/>
        <v>8119.96</v>
      </c>
      <c r="G35">
        <v>87797950</v>
      </c>
      <c r="H35">
        <v>0.14940000000000001</v>
      </c>
      <c r="I35">
        <v>0.57999999999999996</v>
      </c>
      <c r="J35">
        <v>2.87</v>
      </c>
      <c r="K35" t="b">
        <f t="shared" si="1"/>
        <v>1</v>
      </c>
      <c r="L35" t="b">
        <f t="shared" si="2"/>
        <v>1</v>
      </c>
    </row>
    <row r="36" spans="1:12" x14ac:dyDescent="0.3">
      <c r="A36" t="s">
        <v>49</v>
      </c>
      <c r="B36" t="s">
        <v>11</v>
      </c>
      <c r="C36">
        <v>23687244</v>
      </c>
      <c r="D36">
        <v>49245</v>
      </c>
      <c r="E36">
        <v>806</v>
      </c>
      <c r="F36">
        <f t="shared" si="0"/>
        <v>481.01</v>
      </c>
      <c r="G36">
        <v>29518634</v>
      </c>
      <c r="H36">
        <v>0.14149999999999999</v>
      </c>
      <c r="I36">
        <v>0.56000000000000005</v>
      </c>
      <c r="J36">
        <v>1.25</v>
      </c>
      <c r="K36" t="b">
        <f t="shared" si="1"/>
        <v>1</v>
      </c>
      <c r="L36" t="b">
        <f t="shared" si="2"/>
        <v>1</v>
      </c>
    </row>
    <row r="37" spans="1:12" x14ac:dyDescent="0.3">
      <c r="A37" t="s">
        <v>50</v>
      </c>
      <c r="B37" t="s">
        <v>15</v>
      </c>
      <c r="C37">
        <v>5754644</v>
      </c>
      <c r="D37">
        <v>42550</v>
      </c>
      <c r="E37">
        <v>1680</v>
      </c>
      <c r="F37">
        <f t="shared" si="0"/>
        <v>135.24</v>
      </c>
      <c r="G37">
        <v>16245658</v>
      </c>
      <c r="H37">
        <v>1.7299999999999999E-2</v>
      </c>
      <c r="I37">
        <v>0.53</v>
      </c>
      <c r="J37">
        <v>2.82</v>
      </c>
      <c r="K37" t="b">
        <f t="shared" si="1"/>
        <v>1</v>
      </c>
      <c r="L37" t="b">
        <f t="shared" si="2"/>
        <v>1</v>
      </c>
    </row>
    <row r="38" spans="1:12" x14ac:dyDescent="0.3">
      <c r="A38" t="s">
        <v>51</v>
      </c>
      <c r="B38" t="s">
        <v>17</v>
      </c>
      <c r="C38">
        <v>16326537</v>
      </c>
      <c r="D38">
        <v>42900</v>
      </c>
      <c r="E38">
        <v>435</v>
      </c>
      <c r="F38">
        <f t="shared" si="0"/>
        <v>380.57</v>
      </c>
      <c r="G38">
        <v>39828421</v>
      </c>
      <c r="H38">
        <v>5.16E-2</v>
      </c>
      <c r="I38">
        <v>0.38</v>
      </c>
      <c r="J38">
        <v>2.44</v>
      </c>
      <c r="K38" t="b">
        <f t="shared" si="1"/>
        <v>1</v>
      </c>
      <c r="L38" t="b">
        <f t="shared" si="2"/>
        <v>1</v>
      </c>
    </row>
    <row r="39" spans="1:12" x14ac:dyDescent="0.3">
      <c r="A39" t="s">
        <v>52</v>
      </c>
      <c r="B39" t="s">
        <v>11</v>
      </c>
      <c r="C39">
        <v>23191935</v>
      </c>
      <c r="D39">
        <v>48234</v>
      </c>
      <c r="E39">
        <v>2794</v>
      </c>
      <c r="F39">
        <f t="shared" si="0"/>
        <v>480.82</v>
      </c>
      <c r="G39">
        <v>79792464</v>
      </c>
      <c r="H39">
        <v>0.12</v>
      </c>
      <c r="I39">
        <v>0.21</v>
      </c>
      <c r="J39">
        <v>3.44</v>
      </c>
      <c r="K39" t="b">
        <f t="shared" si="1"/>
        <v>1</v>
      </c>
      <c r="L39" t="b">
        <f t="shared" si="2"/>
        <v>1</v>
      </c>
    </row>
    <row r="40" spans="1:12" x14ac:dyDescent="0.3">
      <c r="A40" t="s">
        <v>53</v>
      </c>
      <c r="B40" t="s">
        <v>13</v>
      </c>
      <c r="C40">
        <v>8354322</v>
      </c>
      <c r="D40">
        <v>36161</v>
      </c>
      <c r="E40">
        <v>1798</v>
      </c>
      <c r="F40">
        <f t="shared" si="0"/>
        <v>231.03</v>
      </c>
      <c r="G40">
        <v>64306258</v>
      </c>
      <c r="H40">
        <v>0.10879999999999999</v>
      </c>
      <c r="I40">
        <v>0.31</v>
      </c>
      <c r="J40">
        <v>7.7</v>
      </c>
      <c r="K40" t="b">
        <f t="shared" si="1"/>
        <v>1</v>
      </c>
      <c r="L40" t="b">
        <f t="shared" si="2"/>
        <v>1</v>
      </c>
    </row>
    <row r="41" spans="1:12" x14ac:dyDescent="0.3">
      <c r="A41" t="s">
        <v>54</v>
      </c>
      <c r="B41" t="s">
        <v>17</v>
      </c>
      <c r="C41">
        <v>48694476</v>
      </c>
      <c r="D41">
        <v>42663</v>
      </c>
      <c r="E41">
        <v>2287</v>
      </c>
      <c r="F41">
        <f t="shared" si="0"/>
        <v>1141.3699999999999</v>
      </c>
      <c r="G41">
        <v>50878617</v>
      </c>
      <c r="H41">
        <v>0.1024</v>
      </c>
      <c r="I41">
        <v>0.25</v>
      </c>
      <c r="J41">
        <v>1.04</v>
      </c>
      <c r="K41" t="b">
        <f t="shared" si="1"/>
        <v>1</v>
      </c>
      <c r="L41" t="b">
        <f t="shared" si="2"/>
        <v>1</v>
      </c>
    </row>
    <row r="42" spans="1:12" x14ac:dyDescent="0.3">
      <c r="A42" t="s">
        <v>55</v>
      </c>
      <c r="B42" t="s">
        <v>17</v>
      </c>
      <c r="C42">
        <v>43145598</v>
      </c>
      <c r="D42">
        <v>34682</v>
      </c>
      <c r="E42">
        <v>1480</v>
      </c>
      <c r="F42">
        <f t="shared" si="0"/>
        <v>1244.03</v>
      </c>
      <c r="G42">
        <v>71102390</v>
      </c>
      <c r="H42">
        <v>0.12920000000000001</v>
      </c>
      <c r="I42">
        <v>0.39</v>
      </c>
      <c r="J42">
        <v>1.65</v>
      </c>
      <c r="K42" t="b">
        <f t="shared" si="1"/>
        <v>1</v>
      </c>
      <c r="L42" t="b">
        <f t="shared" si="2"/>
        <v>1</v>
      </c>
    </row>
    <row r="43" spans="1:12" x14ac:dyDescent="0.3">
      <c r="A43" t="s">
        <v>56</v>
      </c>
      <c r="B43" t="s">
        <v>17</v>
      </c>
      <c r="C43">
        <v>18562983</v>
      </c>
      <c r="D43">
        <v>17231</v>
      </c>
      <c r="E43">
        <v>309</v>
      </c>
      <c r="F43">
        <f t="shared" si="0"/>
        <v>1077.3</v>
      </c>
      <c r="G43">
        <v>94942955</v>
      </c>
      <c r="H43">
        <v>8.5199999999999998E-2</v>
      </c>
      <c r="I43">
        <v>0.73</v>
      </c>
      <c r="J43">
        <v>5.1100000000000003</v>
      </c>
      <c r="K43" t="b">
        <f t="shared" si="1"/>
        <v>1</v>
      </c>
      <c r="L43" t="b">
        <f t="shared" si="2"/>
        <v>1</v>
      </c>
    </row>
    <row r="44" spans="1:12" x14ac:dyDescent="0.3">
      <c r="A44" t="s">
        <v>57</v>
      </c>
      <c r="B44" t="s">
        <v>19</v>
      </c>
      <c r="C44">
        <v>23218043</v>
      </c>
      <c r="D44">
        <v>13660</v>
      </c>
      <c r="E44">
        <v>1102</v>
      </c>
      <c r="F44">
        <f t="shared" si="0"/>
        <v>1699.71</v>
      </c>
      <c r="G44">
        <v>18825931</v>
      </c>
      <c r="H44">
        <v>0.1759</v>
      </c>
      <c r="I44">
        <v>0.71</v>
      </c>
      <c r="J44">
        <v>0.81</v>
      </c>
      <c r="K44" t="b">
        <f t="shared" si="1"/>
        <v>1</v>
      </c>
      <c r="L44" t="b">
        <f t="shared" si="2"/>
        <v>1</v>
      </c>
    </row>
    <row r="45" spans="1:12" x14ac:dyDescent="0.3">
      <c r="A45" t="s">
        <v>58</v>
      </c>
      <c r="B45" t="s">
        <v>15</v>
      </c>
      <c r="C45">
        <v>44619006</v>
      </c>
      <c r="D45">
        <v>10877</v>
      </c>
      <c r="E45">
        <v>102</v>
      </c>
      <c r="F45">
        <f t="shared" si="0"/>
        <v>4102.1400000000003</v>
      </c>
      <c r="G45">
        <v>14100591</v>
      </c>
      <c r="H45">
        <v>0.1835</v>
      </c>
      <c r="I45">
        <v>0.55000000000000004</v>
      </c>
      <c r="J45">
        <v>0.32</v>
      </c>
      <c r="K45" t="b">
        <f t="shared" si="1"/>
        <v>1</v>
      </c>
      <c r="L45" t="b">
        <f t="shared" si="2"/>
        <v>1</v>
      </c>
    </row>
    <row r="46" spans="1:12" x14ac:dyDescent="0.3">
      <c r="A46" t="s">
        <v>59</v>
      </c>
      <c r="B46" t="s">
        <v>17</v>
      </c>
      <c r="C46">
        <v>29043078</v>
      </c>
      <c r="D46">
        <v>47715</v>
      </c>
      <c r="E46">
        <v>2600</v>
      </c>
      <c r="F46">
        <f t="shared" si="0"/>
        <v>608.67999999999995</v>
      </c>
      <c r="G46">
        <v>42672839</v>
      </c>
      <c r="H46">
        <v>0.1913</v>
      </c>
      <c r="I46">
        <v>0.23</v>
      </c>
      <c r="J46">
        <v>1.47</v>
      </c>
      <c r="K46" t="b">
        <f t="shared" si="1"/>
        <v>1</v>
      </c>
      <c r="L46" t="b">
        <f t="shared" si="2"/>
        <v>1</v>
      </c>
    </row>
    <row r="47" spans="1:12" x14ac:dyDescent="0.3">
      <c r="A47" t="s">
        <v>60</v>
      </c>
      <c r="B47" t="s">
        <v>19</v>
      </c>
      <c r="C47">
        <v>42472971</v>
      </c>
      <c r="D47">
        <v>11120</v>
      </c>
      <c r="E47">
        <v>366</v>
      </c>
      <c r="F47">
        <f t="shared" si="0"/>
        <v>3819.51</v>
      </c>
      <c r="G47">
        <v>72992417</v>
      </c>
      <c r="H47">
        <v>0.18229999999999999</v>
      </c>
      <c r="I47">
        <v>0.59</v>
      </c>
      <c r="J47">
        <v>1.72</v>
      </c>
      <c r="K47" t="b">
        <f t="shared" si="1"/>
        <v>1</v>
      </c>
      <c r="L47" t="b">
        <f t="shared" si="2"/>
        <v>1</v>
      </c>
    </row>
    <row r="48" spans="1:12" x14ac:dyDescent="0.3">
      <c r="A48" t="s">
        <v>61</v>
      </c>
      <c r="B48" t="s">
        <v>19</v>
      </c>
      <c r="C48">
        <v>18056583</v>
      </c>
      <c r="D48">
        <v>16942</v>
      </c>
      <c r="E48">
        <v>1151</v>
      </c>
      <c r="F48">
        <f t="shared" si="0"/>
        <v>1065.79</v>
      </c>
      <c r="G48">
        <v>45777203</v>
      </c>
      <c r="H48">
        <v>3.7499999999999999E-2</v>
      </c>
      <c r="I48">
        <v>0.73</v>
      </c>
      <c r="J48">
        <v>2.54</v>
      </c>
      <c r="K48" t="b">
        <f t="shared" si="1"/>
        <v>1</v>
      </c>
      <c r="L48" t="b">
        <f t="shared" si="2"/>
        <v>1</v>
      </c>
    </row>
    <row r="49" spans="1:12" x14ac:dyDescent="0.3">
      <c r="A49" t="s">
        <v>62</v>
      </c>
      <c r="B49" t="s">
        <v>11</v>
      </c>
      <c r="C49">
        <v>31198471</v>
      </c>
      <c r="D49">
        <v>8677</v>
      </c>
      <c r="E49">
        <v>2387</v>
      </c>
      <c r="F49">
        <f t="shared" si="0"/>
        <v>3595.54</v>
      </c>
      <c r="G49">
        <v>81635136</v>
      </c>
      <c r="H49">
        <v>0.12470000000000001</v>
      </c>
      <c r="I49">
        <v>0.21</v>
      </c>
      <c r="J49">
        <v>2.62</v>
      </c>
      <c r="K49" t="b">
        <f t="shared" si="1"/>
        <v>1</v>
      </c>
      <c r="L49" t="b">
        <f t="shared" si="2"/>
        <v>1</v>
      </c>
    </row>
    <row r="50" spans="1:12" x14ac:dyDescent="0.3">
      <c r="A50" t="s">
        <v>63</v>
      </c>
      <c r="B50" t="s">
        <v>15</v>
      </c>
      <c r="C50">
        <v>42400233</v>
      </c>
      <c r="D50">
        <v>27391</v>
      </c>
      <c r="E50">
        <v>2113</v>
      </c>
      <c r="F50">
        <f t="shared" si="0"/>
        <v>1547.96</v>
      </c>
      <c r="G50">
        <v>95072581</v>
      </c>
      <c r="H50">
        <v>4.5999999999999999E-2</v>
      </c>
      <c r="I50">
        <v>0.59</v>
      </c>
      <c r="J50">
        <v>2.2400000000000002</v>
      </c>
      <c r="K50" t="b">
        <f t="shared" si="1"/>
        <v>1</v>
      </c>
      <c r="L50" t="b">
        <f t="shared" si="2"/>
        <v>1</v>
      </c>
    </row>
    <row r="51" spans="1:12" x14ac:dyDescent="0.3">
      <c r="A51" t="s">
        <v>64</v>
      </c>
      <c r="B51" t="s">
        <v>11</v>
      </c>
      <c r="C51">
        <v>27867359</v>
      </c>
      <c r="D51">
        <v>27077</v>
      </c>
      <c r="E51">
        <v>1952</v>
      </c>
      <c r="F51">
        <f t="shared" si="0"/>
        <v>1029.19</v>
      </c>
      <c r="G51">
        <v>57501548</v>
      </c>
      <c r="H51">
        <v>0.1996</v>
      </c>
      <c r="I51">
        <v>0.74</v>
      </c>
      <c r="J51">
        <v>2.06</v>
      </c>
      <c r="K51" t="b">
        <f t="shared" si="1"/>
        <v>1</v>
      </c>
      <c r="L51" t="b">
        <f t="shared" si="2"/>
        <v>1</v>
      </c>
    </row>
    <row r="52" spans="1:12" x14ac:dyDescent="0.3">
      <c r="A52" t="s">
        <v>65</v>
      </c>
      <c r="B52" t="s">
        <v>11</v>
      </c>
      <c r="C52">
        <v>14615151</v>
      </c>
      <c r="D52">
        <v>37239</v>
      </c>
      <c r="E52">
        <v>922</v>
      </c>
      <c r="F52">
        <f t="shared" si="0"/>
        <v>392.47</v>
      </c>
      <c r="G52">
        <v>65400156</v>
      </c>
      <c r="H52">
        <v>0.18029999999999999</v>
      </c>
      <c r="I52">
        <v>0.34</v>
      </c>
      <c r="J52">
        <v>4.47</v>
      </c>
      <c r="K52" t="b">
        <f t="shared" si="1"/>
        <v>1</v>
      </c>
      <c r="L52" t="b">
        <f t="shared" si="2"/>
        <v>1</v>
      </c>
    </row>
    <row r="53" spans="1:12" x14ac:dyDescent="0.3">
      <c r="A53" t="s">
        <v>66</v>
      </c>
      <c r="B53" t="s">
        <v>15</v>
      </c>
      <c r="C53">
        <v>20167880</v>
      </c>
      <c r="D53">
        <v>46968</v>
      </c>
      <c r="E53">
        <v>1969</v>
      </c>
      <c r="F53">
        <f t="shared" si="0"/>
        <v>429.4</v>
      </c>
      <c r="G53">
        <v>22119723</v>
      </c>
      <c r="H53">
        <v>0.16200000000000001</v>
      </c>
      <c r="I53">
        <v>0.34</v>
      </c>
      <c r="J53">
        <v>1.1000000000000001</v>
      </c>
      <c r="K53" t="b">
        <f t="shared" si="1"/>
        <v>1</v>
      </c>
      <c r="L53" t="b">
        <f t="shared" si="2"/>
        <v>1</v>
      </c>
    </row>
    <row r="54" spans="1:12" x14ac:dyDescent="0.3">
      <c r="A54" t="s">
        <v>67</v>
      </c>
      <c r="B54" t="s">
        <v>13</v>
      </c>
      <c r="C54">
        <v>24286605</v>
      </c>
      <c r="D54">
        <v>9740</v>
      </c>
      <c r="E54">
        <v>2412</v>
      </c>
      <c r="F54">
        <f t="shared" si="0"/>
        <v>2493.4899999999998</v>
      </c>
      <c r="G54">
        <v>19182384</v>
      </c>
      <c r="H54">
        <v>1.9599999999999999E-2</v>
      </c>
      <c r="I54">
        <v>0.75</v>
      </c>
      <c r="J54">
        <v>0.79</v>
      </c>
      <c r="K54" t="b">
        <f t="shared" si="1"/>
        <v>1</v>
      </c>
      <c r="L54" t="b">
        <f t="shared" si="2"/>
        <v>1</v>
      </c>
    </row>
    <row r="55" spans="1:12" x14ac:dyDescent="0.3">
      <c r="A55" t="s">
        <v>68</v>
      </c>
      <c r="B55" t="s">
        <v>17</v>
      </c>
      <c r="C55">
        <v>49753676</v>
      </c>
      <c r="D55">
        <v>22989</v>
      </c>
      <c r="E55">
        <v>1940</v>
      </c>
      <c r="F55">
        <f t="shared" si="0"/>
        <v>2164.2399999999998</v>
      </c>
      <c r="G55">
        <v>48480660</v>
      </c>
      <c r="H55">
        <v>0.13589999999999999</v>
      </c>
      <c r="I55">
        <v>0.3</v>
      </c>
      <c r="J55">
        <v>0.97</v>
      </c>
      <c r="K55" t="b">
        <f t="shared" si="1"/>
        <v>1</v>
      </c>
      <c r="L55" t="b">
        <f t="shared" si="2"/>
        <v>1</v>
      </c>
    </row>
    <row r="56" spans="1:12" x14ac:dyDescent="0.3">
      <c r="A56" t="s">
        <v>69</v>
      </c>
      <c r="B56" t="s">
        <v>13</v>
      </c>
      <c r="C56">
        <v>11284474</v>
      </c>
      <c r="D56">
        <v>34599</v>
      </c>
      <c r="E56">
        <v>1279</v>
      </c>
      <c r="F56">
        <f t="shared" si="0"/>
        <v>326.14999999999998</v>
      </c>
      <c r="G56">
        <v>30223511</v>
      </c>
      <c r="H56">
        <v>0.1135</v>
      </c>
      <c r="I56">
        <v>0.73</v>
      </c>
      <c r="J56">
        <v>2.68</v>
      </c>
      <c r="K56" t="b">
        <f t="shared" si="1"/>
        <v>1</v>
      </c>
      <c r="L56" t="b">
        <f t="shared" si="2"/>
        <v>1</v>
      </c>
    </row>
    <row r="57" spans="1:12" x14ac:dyDescent="0.3">
      <c r="A57" t="s">
        <v>70</v>
      </c>
      <c r="B57" t="s">
        <v>11</v>
      </c>
      <c r="C57">
        <v>35211804</v>
      </c>
      <c r="D57">
        <v>16386</v>
      </c>
      <c r="E57">
        <v>966</v>
      </c>
      <c r="F57">
        <f t="shared" si="0"/>
        <v>2148.9</v>
      </c>
      <c r="G57">
        <v>46679059</v>
      </c>
      <c r="H57">
        <v>7.17E-2</v>
      </c>
      <c r="I57">
        <v>0.55000000000000004</v>
      </c>
      <c r="J57">
        <v>1.33</v>
      </c>
      <c r="K57" t="b">
        <f t="shared" si="1"/>
        <v>1</v>
      </c>
      <c r="L57" t="b">
        <f t="shared" si="2"/>
        <v>1</v>
      </c>
    </row>
    <row r="58" spans="1:12" x14ac:dyDescent="0.3">
      <c r="A58" t="s">
        <v>71</v>
      </c>
      <c r="B58" t="s">
        <v>13</v>
      </c>
      <c r="C58">
        <v>9751060</v>
      </c>
      <c r="D58">
        <v>13790</v>
      </c>
      <c r="E58">
        <v>362</v>
      </c>
      <c r="F58">
        <f t="shared" si="0"/>
        <v>707.11</v>
      </c>
      <c r="G58">
        <v>25226357</v>
      </c>
      <c r="H58">
        <v>2.5700000000000001E-2</v>
      </c>
      <c r="I58">
        <v>0.62</v>
      </c>
      <c r="J58">
        <v>2.59</v>
      </c>
      <c r="K58" t="b">
        <f t="shared" si="1"/>
        <v>1</v>
      </c>
      <c r="L58" t="b">
        <f t="shared" si="2"/>
        <v>1</v>
      </c>
    </row>
    <row r="59" spans="1:12" x14ac:dyDescent="0.3">
      <c r="A59" t="s">
        <v>72</v>
      </c>
      <c r="B59" t="s">
        <v>19</v>
      </c>
      <c r="C59">
        <v>26864988</v>
      </c>
      <c r="D59">
        <v>44926</v>
      </c>
      <c r="E59">
        <v>1011</v>
      </c>
      <c r="F59">
        <f t="shared" si="0"/>
        <v>597.98</v>
      </c>
      <c r="G59">
        <v>73110136</v>
      </c>
      <c r="H59">
        <v>0.1024</v>
      </c>
      <c r="I59">
        <v>0.38</v>
      </c>
      <c r="J59">
        <v>2.72</v>
      </c>
      <c r="K59" t="b">
        <f t="shared" si="1"/>
        <v>1</v>
      </c>
      <c r="L59" t="b">
        <f t="shared" si="2"/>
        <v>1</v>
      </c>
    </row>
    <row r="60" spans="1:12" x14ac:dyDescent="0.3">
      <c r="A60" t="s">
        <v>73</v>
      </c>
      <c r="B60" t="s">
        <v>15</v>
      </c>
      <c r="C60">
        <v>10265981</v>
      </c>
      <c r="D60">
        <v>49534</v>
      </c>
      <c r="E60">
        <v>79</v>
      </c>
      <c r="F60">
        <f t="shared" si="0"/>
        <v>207.25</v>
      </c>
      <c r="G60">
        <v>24348453</v>
      </c>
      <c r="H60">
        <v>0.1381</v>
      </c>
      <c r="I60">
        <v>0.53</v>
      </c>
      <c r="J60">
        <v>2.37</v>
      </c>
      <c r="K60" t="b">
        <f t="shared" si="1"/>
        <v>1</v>
      </c>
      <c r="L60" t="b">
        <f t="shared" si="2"/>
        <v>1</v>
      </c>
    </row>
    <row r="61" spans="1:12" x14ac:dyDescent="0.3">
      <c r="A61" t="s">
        <v>74</v>
      </c>
      <c r="B61" t="s">
        <v>15</v>
      </c>
      <c r="C61">
        <v>22469355</v>
      </c>
      <c r="D61">
        <v>19730</v>
      </c>
      <c r="E61">
        <v>1267</v>
      </c>
      <c r="F61">
        <f t="shared" si="0"/>
        <v>1138.8399999999999</v>
      </c>
      <c r="G61">
        <v>90502755</v>
      </c>
      <c r="H61">
        <v>0.19719999999999999</v>
      </c>
      <c r="I61">
        <v>0.61</v>
      </c>
      <c r="J61">
        <v>4.03</v>
      </c>
      <c r="K61" t="b">
        <f t="shared" si="1"/>
        <v>1</v>
      </c>
      <c r="L61" t="b">
        <f t="shared" si="2"/>
        <v>1</v>
      </c>
    </row>
    <row r="62" spans="1:12" x14ac:dyDescent="0.3">
      <c r="A62" t="s">
        <v>75</v>
      </c>
      <c r="B62" t="s">
        <v>13</v>
      </c>
      <c r="C62">
        <v>14605697</v>
      </c>
      <c r="D62">
        <v>37948</v>
      </c>
      <c r="E62">
        <v>2069</v>
      </c>
      <c r="F62">
        <f t="shared" si="0"/>
        <v>384.89</v>
      </c>
      <c r="G62">
        <v>34863483</v>
      </c>
      <c r="H62">
        <v>0.13289999999999999</v>
      </c>
      <c r="I62">
        <v>0.21</v>
      </c>
      <c r="J62">
        <v>2.39</v>
      </c>
      <c r="K62" t="b">
        <f t="shared" si="1"/>
        <v>1</v>
      </c>
      <c r="L62" t="b">
        <f t="shared" si="2"/>
        <v>1</v>
      </c>
    </row>
    <row r="63" spans="1:12" x14ac:dyDescent="0.3">
      <c r="A63" t="s">
        <v>76</v>
      </c>
      <c r="B63" t="s">
        <v>13</v>
      </c>
      <c r="C63">
        <v>44954123</v>
      </c>
      <c r="D63">
        <v>8760</v>
      </c>
      <c r="E63">
        <v>2005</v>
      </c>
      <c r="F63">
        <f t="shared" si="0"/>
        <v>5131.75</v>
      </c>
      <c r="G63">
        <v>86976377</v>
      </c>
      <c r="H63">
        <v>5.8000000000000003E-2</v>
      </c>
      <c r="I63">
        <v>0.61</v>
      </c>
      <c r="J63">
        <v>1.93</v>
      </c>
      <c r="K63" t="b">
        <f t="shared" si="1"/>
        <v>1</v>
      </c>
      <c r="L63" t="b">
        <f t="shared" si="2"/>
        <v>1</v>
      </c>
    </row>
    <row r="64" spans="1:12" x14ac:dyDescent="0.3">
      <c r="A64" t="s">
        <v>77</v>
      </c>
      <c r="B64" t="s">
        <v>15</v>
      </c>
      <c r="C64">
        <v>43386263</v>
      </c>
      <c r="D64">
        <v>29680</v>
      </c>
      <c r="E64">
        <v>1876</v>
      </c>
      <c r="F64">
        <f t="shared" si="0"/>
        <v>1461.8</v>
      </c>
      <c r="G64">
        <v>63351233</v>
      </c>
      <c r="H64">
        <v>0.1512</v>
      </c>
      <c r="I64">
        <v>0.56999999999999995</v>
      </c>
      <c r="J64">
        <v>1.46</v>
      </c>
      <c r="K64" t="b">
        <f t="shared" si="1"/>
        <v>1</v>
      </c>
      <c r="L64" t="b">
        <f t="shared" si="2"/>
        <v>1</v>
      </c>
    </row>
    <row r="65" spans="1:12" x14ac:dyDescent="0.3">
      <c r="A65" t="s">
        <v>78</v>
      </c>
      <c r="B65" t="s">
        <v>13</v>
      </c>
      <c r="C65">
        <v>12869981</v>
      </c>
      <c r="D65">
        <v>30169</v>
      </c>
      <c r="E65">
        <v>176</v>
      </c>
      <c r="F65">
        <f t="shared" ref="F65:F127" si="3">IF(D65 = 0,FALSE,ROUND(C65/D65,2))</f>
        <v>426.6</v>
      </c>
      <c r="G65">
        <v>41130654</v>
      </c>
      <c r="H65">
        <v>3.6200000000000003E-2</v>
      </c>
      <c r="I65">
        <v>0.72</v>
      </c>
      <c r="J65">
        <v>3.2</v>
      </c>
      <c r="K65" t="b">
        <f t="shared" ref="K65:K127" si="4" xml:space="preserve"> IF(E65&gt;D65,FALSE,TRUE)</f>
        <v>1</v>
      </c>
      <c r="L65" t="b">
        <f t="shared" ref="L65:L127" si="5">IF(E65/D65*100&gt;50,FALSE,TRUE)</f>
        <v>1</v>
      </c>
    </row>
    <row r="66" spans="1:12" x14ac:dyDescent="0.3">
      <c r="A66" t="s">
        <v>79</v>
      </c>
      <c r="B66" t="s">
        <v>11</v>
      </c>
      <c r="C66">
        <v>8594407</v>
      </c>
      <c r="D66">
        <v>24342</v>
      </c>
      <c r="E66">
        <v>1372</v>
      </c>
      <c r="F66">
        <f t="shared" si="3"/>
        <v>353.07</v>
      </c>
      <c r="G66">
        <v>61079947</v>
      </c>
      <c r="H66">
        <v>0.1681</v>
      </c>
      <c r="I66">
        <v>0.68</v>
      </c>
      <c r="J66">
        <v>7.11</v>
      </c>
      <c r="K66" t="b">
        <f t="shared" si="4"/>
        <v>1</v>
      </c>
      <c r="L66" t="b">
        <f t="shared" si="5"/>
        <v>1</v>
      </c>
    </row>
    <row r="67" spans="1:12" x14ac:dyDescent="0.3">
      <c r="A67" t="s">
        <v>80</v>
      </c>
      <c r="B67" t="s">
        <v>17</v>
      </c>
      <c r="C67">
        <v>10415027</v>
      </c>
      <c r="D67">
        <v>8852</v>
      </c>
      <c r="E67">
        <v>2146</v>
      </c>
      <c r="F67">
        <f t="shared" si="3"/>
        <v>1176.57</v>
      </c>
      <c r="G67">
        <v>18804908</v>
      </c>
      <c r="H67">
        <v>0.1245</v>
      </c>
      <c r="I67">
        <v>0.25</v>
      </c>
      <c r="J67">
        <v>1.81</v>
      </c>
      <c r="K67" t="b">
        <f t="shared" si="4"/>
        <v>1</v>
      </c>
      <c r="L67" t="b">
        <f t="shared" si="5"/>
        <v>1</v>
      </c>
    </row>
    <row r="68" spans="1:12" x14ac:dyDescent="0.3">
      <c r="A68" t="s">
        <v>81</v>
      </c>
      <c r="B68" t="s">
        <v>17</v>
      </c>
      <c r="C68">
        <v>5259058</v>
      </c>
      <c r="D68">
        <v>5044</v>
      </c>
      <c r="E68">
        <v>2285</v>
      </c>
      <c r="F68">
        <f t="shared" si="3"/>
        <v>1042.6400000000001</v>
      </c>
      <c r="G68">
        <v>60289024</v>
      </c>
      <c r="H68">
        <v>4.5900000000000003E-2</v>
      </c>
      <c r="I68">
        <v>0.48</v>
      </c>
      <c r="J68">
        <v>11.46</v>
      </c>
      <c r="K68" t="b">
        <f t="shared" si="4"/>
        <v>1</v>
      </c>
      <c r="L68" t="b">
        <f t="shared" si="5"/>
        <v>1</v>
      </c>
    </row>
    <row r="69" spans="1:12" x14ac:dyDescent="0.3">
      <c r="A69" t="s">
        <v>82</v>
      </c>
      <c r="B69" t="s">
        <v>15</v>
      </c>
      <c r="C69">
        <v>19781893</v>
      </c>
      <c r="D69">
        <v>10317</v>
      </c>
      <c r="E69">
        <v>359</v>
      </c>
      <c r="F69">
        <f t="shared" si="3"/>
        <v>1917.41</v>
      </c>
      <c r="G69">
        <v>62071610</v>
      </c>
      <c r="H69">
        <v>0.1002</v>
      </c>
      <c r="I69">
        <v>0.44</v>
      </c>
      <c r="J69">
        <v>3.14</v>
      </c>
      <c r="K69" t="b">
        <f t="shared" si="4"/>
        <v>1</v>
      </c>
      <c r="L69" t="b">
        <f t="shared" si="5"/>
        <v>1</v>
      </c>
    </row>
    <row r="70" spans="1:12" x14ac:dyDescent="0.3">
      <c r="A70" t="s">
        <v>83</v>
      </c>
      <c r="B70" t="s">
        <v>17</v>
      </c>
      <c r="C70">
        <v>49140950</v>
      </c>
      <c r="D70">
        <v>18691</v>
      </c>
      <c r="E70">
        <v>889</v>
      </c>
      <c r="F70">
        <f t="shared" si="3"/>
        <v>2629.12</v>
      </c>
      <c r="G70">
        <v>96365004</v>
      </c>
      <c r="H70">
        <v>8.72E-2</v>
      </c>
      <c r="I70">
        <v>0.75</v>
      </c>
      <c r="J70">
        <v>1.96</v>
      </c>
      <c r="K70" t="b">
        <f t="shared" si="4"/>
        <v>1</v>
      </c>
      <c r="L70" t="b">
        <f t="shared" si="5"/>
        <v>1</v>
      </c>
    </row>
    <row r="71" spans="1:12" x14ac:dyDescent="0.3">
      <c r="A71" t="s">
        <v>84</v>
      </c>
      <c r="B71" t="s">
        <v>19</v>
      </c>
      <c r="C71">
        <v>19038522</v>
      </c>
      <c r="D71">
        <v>12179</v>
      </c>
      <c r="E71">
        <v>1410</v>
      </c>
      <c r="F71">
        <f t="shared" si="3"/>
        <v>1563.23</v>
      </c>
      <c r="G71">
        <v>98255313</v>
      </c>
      <c r="H71">
        <v>9.8500000000000004E-2</v>
      </c>
      <c r="I71">
        <v>0.33</v>
      </c>
      <c r="J71">
        <v>5.16</v>
      </c>
      <c r="K71" t="b">
        <f t="shared" si="4"/>
        <v>1</v>
      </c>
      <c r="L71" t="b">
        <f t="shared" si="5"/>
        <v>1</v>
      </c>
    </row>
    <row r="72" spans="1:12" x14ac:dyDescent="0.3">
      <c r="A72" t="s">
        <v>85</v>
      </c>
      <c r="B72" t="s">
        <v>17</v>
      </c>
      <c r="C72">
        <v>5601007</v>
      </c>
      <c r="D72">
        <v>5819</v>
      </c>
      <c r="E72">
        <v>306</v>
      </c>
      <c r="F72">
        <f t="shared" si="3"/>
        <v>962.54</v>
      </c>
      <c r="G72">
        <v>75869051</v>
      </c>
      <c r="H72">
        <v>3.7499999999999999E-2</v>
      </c>
      <c r="I72">
        <v>0.71</v>
      </c>
      <c r="J72">
        <v>13.55</v>
      </c>
      <c r="K72" t="b">
        <f t="shared" si="4"/>
        <v>1</v>
      </c>
      <c r="L72" t="b">
        <f t="shared" si="5"/>
        <v>1</v>
      </c>
    </row>
    <row r="73" spans="1:12" x14ac:dyDescent="0.3">
      <c r="A73" t="s">
        <v>86</v>
      </c>
      <c r="B73" t="s">
        <v>15</v>
      </c>
      <c r="C73">
        <v>36243211</v>
      </c>
      <c r="D73">
        <v>47894</v>
      </c>
      <c r="E73">
        <v>2442</v>
      </c>
      <c r="F73">
        <f t="shared" si="3"/>
        <v>756.74</v>
      </c>
      <c r="G73">
        <v>23558553</v>
      </c>
      <c r="H73">
        <v>6.93E-2</v>
      </c>
      <c r="I73">
        <v>0.73</v>
      </c>
      <c r="J73">
        <v>0.65</v>
      </c>
      <c r="K73" t="b">
        <f t="shared" si="4"/>
        <v>1</v>
      </c>
      <c r="L73" t="b">
        <f t="shared" si="5"/>
        <v>1</v>
      </c>
    </row>
    <row r="74" spans="1:12" x14ac:dyDescent="0.3">
      <c r="A74" t="s">
        <v>87</v>
      </c>
      <c r="B74" t="s">
        <v>13</v>
      </c>
      <c r="C74">
        <v>35936467</v>
      </c>
      <c r="D74">
        <v>44741</v>
      </c>
      <c r="E74">
        <v>2279</v>
      </c>
      <c r="F74">
        <f t="shared" si="3"/>
        <v>803.21</v>
      </c>
      <c r="G74">
        <v>17447854</v>
      </c>
      <c r="H74">
        <v>3.4299999999999997E-2</v>
      </c>
      <c r="I74">
        <v>0.42</v>
      </c>
      <c r="J74">
        <v>0.49</v>
      </c>
      <c r="K74" t="b">
        <f t="shared" si="4"/>
        <v>1</v>
      </c>
      <c r="L74" t="b">
        <f t="shared" si="5"/>
        <v>1</v>
      </c>
    </row>
    <row r="75" spans="1:12" x14ac:dyDescent="0.3">
      <c r="A75" t="s">
        <v>88</v>
      </c>
      <c r="B75" t="s">
        <v>17</v>
      </c>
      <c r="C75">
        <v>17779594</v>
      </c>
      <c r="D75">
        <v>43208</v>
      </c>
      <c r="E75">
        <v>831</v>
      </c>
      <c r="F75">
        <f t="shared" si="3"/>
        <v>411.49</v>
      </c>
      <c r="G75">
        <v>83964362</v>
      </c>
      <c r="H75">
        <v>0.1988</v>
      </c>
      <c r="I75">
        <v>0.74</v>
      </c>
      <c r="J75">
        <v>4.72</v>
      </c>
      <c r="K75" t="b">
        <f t="shared" si="4"/>
        <v>1</v>
      </c>
      <c r="L75" t="b">
        <f t="shared" si="5"/>
        <v>1</v>
      </c>
    </row>
    <row r="76" spans="1:12" x14ac:dyDescent="0.3">
      <c r="A76" t="s">
        <v>89</v>
      </c>
      <c r="B76" t="s">
        <v>15</v>
      </c>
      <c r="C76">
        <v>30805899</v>
      </c>
      <c r="D76">
        <v>33108</v>
      </c>
      <c r="E76">
        <v>2919</v>
      </c>
      <c r="F76">
        <f t="shared" si="3"/>
        <v>930.47</v>
      </c>
      <c r="G76">
        <v>63891689</v>
      </c>
      <c r="H76">
        <v>8.3900000000000002E-2</v>
      </c>
      <c r="I76">
        <v>0.22</v>
      </c>
      <c r="J76">
        <v>2.0699999999999998</v>
      </c>
      <c r="K76" t="b">
        <f t="shared" si="4"/>
        <v>1</v>
      </c>
      <c r="L76" t="b">
        <f t="shared" si="5"/>
        <v>1</v>
      </c>
    </row>
    <row r="77" spans="1:12" x14ac:dyDescent="0.3">
      <c r="A77" t="s">
        <v>90</v>
      </c>
      <c r="B77" t="s">
        <v>11</v>
      </c>
      <c r="C77">
        <v>33076644</v>
      </c>
      <c r="D77">
        <v>16413</v>
      </c>
      <c r="E77">
        <v>343</v>
      </c>
      <c r="F77">
        <f t="shared" si="3"/>
        <v>2015.27</v>
      </c>
      <c r="G77">
        <v>84677438</v>
      </c>
      <c r="H77">
        <v>3.6299999999999999E-2</v>
      </c>
      <c r="I77">
        <v>0.7</v>
      </c>
      <c r="J77">
        <v>2.56</v>
      </c>
      <c r="K77" t="b">
        <f t="shared" si="4"/>
        <v>1</v>
      </c>
      <c r="L77" t="b">
        <f t="shared" si="5"/>
        <v>1</v>
      </c>
    </row>
    <row r="78" spans="1:12" x14ac:dyDescent="0.3">
      <c r="A78" t="s">
        <v>91</v>
      </c>
      <c r="B78" t="s">
        <v>15</v>
      </c>
      <c r="C78">
        <v>13673381</v>
      </c>
      <c r="D78">
        <v>48280</v>
      </c>
      <c r="E78">
        <v>2584</v>
      </c>
      <c r="F78">
        <f t="shared" si="3"/>
        <v>283.20999999999998</v>
      </c>
      <c r="G78">
        <v>50077176</v>
      </c>
      <c r="H78">
        <v>5.9499999999999997E-2</v>
      </c>
      <c r="I78">
        <v>0.32</v>
      </c>
      <c r="J78">
        <v>3.66</v>
      </c>
      <c r="K78" t="b">
        <f t="shared" si="4"/>
        <v>1</v>
      </c>
      <c r="L78" t="b">
        <f t="shared" si="5"/>
        <v>1</v>
      </c>
    </row>
    <row r="79" spans="1:12" x14ac:dyDescent="0.3">
      <c r="A79" t="s">
        <v>92</v>
      </c>
      <c r="B79" t="s">
        <v>15</v>
      </c>
      <c r="C79">
        <v>16752255</v>
      </c>
      <c r="D79">
        <v>1798</v>
      </c>
      <c r="E79">
        <v>524</v>
      </c>
      <c r="F79">
        <f t="shared" si="3"/>
        <v>9317.16</v>
      </c>
      <c r="G79">
        <v>40088739</v>
      </c>
      <c r="H79">
        <v>0.18590000000000001</v>
      </c>
      <c r="I79">
        <v>0.68</v>
      </c>
      <c r="J79">
        <v>2.39</v>
      </c>
      <c r="K79" t="b">
        <f t="shared" si="4"/>
        <v>1</v>
      </c>
      <c r="L79" t="b">
        <f t="shared" si="5"/>
        <v>1</v>
      </c>
    </row>
    <row r="80" spans="1:12" x14ac:dyDescent="0.3">
      <c r="A80" t="s">
        <v>93</v>
      </c>
      <c r="B80" t="s">
        <v>17</v>
      </c>
      <c r="C80">
        <v>49109498</v>
      </c>
      <c r="D80">
        <v>35985</v>
      </c>
      <c r="E80">
        <v>1842</v>
      </c>
      <c r="F80">
        <f t="shared" si="3"/>
        <v>1364.72</v>
      </c>
      <c r="G80">
        <v>14620477</v>
      </c>
      <c r="H80">
        <v>9.1499999999999998E-2</v>
      </c>
      <c r="I80">
        <v>0.28999999999999998</v>
      </c>
      <c r="J80">
        <v>0.3</v>
      </c>
      <c r="K80" t="b">
        <f t="shared" si="4"/>
        <v>1</v>
      </c>
      <c r="L80" t="b">
        <f t="shared" si="5"/>
        <v>1</v>
      </c>
    </row>
    <row r="81" spans="1:12" x14ac:dyDescent="0.3">
      <c r="A81" t="s">
        <v>94</v>
      </c>
      <c r="B81" t="s">
        <v>17</v>
      </c>
      <c r="C81">
        <v>45711210</v>
      </c>
      <c r="D81">
        <v>48032</v>
      </c>
      <c r="E81">
        <v>1440</v>
      </c>
      <c r="F81">
        <f t="shared" si="3"/>
        <v>951.68</v>
      </c>
      <c r="G81">
        <v>34109943</v>
      </c>
      <c r="H81">
        <v>4.9200000000000001E-2</v>
      </c>
      <c r="I81">
        <v>0.47</v>
      </c>
      <c r="J81">
        <v>0.75</v>
      </c>
      <c r="K81" t="b">
        <f t="shared" si="4"/>
        <v>1</v>
      </c>
      <c r="L81" t="b">
        <f t="shared" si="5"/>
        <v>1</v>
      </c>
    </row>
    <row r="82" spans="1:12" x14ac:dyDescent="0.3">
      <c r="A82" t="s">
        <v>95</v>
      </c>
      <c r="B82" t="s">
        <v>11</v>
      </c>
      <c r="C82">
        <v>49708270</v>
      </c>
      <c r="D82">
        <v>41241</v>
      </c>
      <c r="E82">
        <v>1528</v>
      </c>
      <c r="F82">
        <f t="shared" si="3"/>
        <v>1205.31</v>
      </c>
      <c r="G82">
        <v>89917559</v>
      </c>
      <c r="H82">
        <v>9.3899999999999997E-2</v>
      </c>
      <c r="I82">
        <v>0.59</v>
      </c>
      <c r="J82">
        <v>1.81</v>
      </c>
      <c r="K82" t="b">
        <f t="shared" si="4"/>
        <v>1</v>
      </c>
      <c r="L82" t="b">
        <f t="shared" si="5"/>
        <v>1</v>
      </c>
    </row>
    <row r="83" spans="1:12" x14ac:dyDescent="0.3">
      <c r="A83" t="s">
        <v>96</v>
      </c>
      <c r="B83" t="s">
        <v>17</v>
      </c>
      <c r="C83">
        <v>12815006</v>
      </c>
      <c r="D83">
        <v>44710</v>
      </c>
      <c r="E83">
        <v>180</v>
      </c>
      <c r="F83">
        <f t="shared" si="3"/>
        <v>286.63</v>
      </c>
      <c r="G83">
        <v>77292309</v>
      </c>
      <c r="H83">
        <v>0.13120000000000001</v>
      </c>
      <c r="I83">
        <v>0.66</v>
      </c>
      <c r="J83">
        <v>6.03</v>
      </c>
      <c r="K83" t="b">
        <f t="shared" si="4"/>
        <v>1</v>
      </c>
      <c r="L83" t="b">
        <f t="shared" si="5"/>
        <v>1</v>
      </c>
    </row>
    <row r="84" spans="1:12" x14ac:dyDescent="0.3">
      <c r="A84" t="s">
        <v>97</v>
      </c>
      <c r="B84" t="s">
        <v>15</v>
      </c>
      <c r="C84">
        <v>17852331</v>
      </c>
      <c r="D84">
        <v>31745</v>
      </c>
      <c r="E84">
        <v>754</v>
      </c>
      <c r="F84">
        <f t="shared" si="3"/>
        <v>562.37</v>
      </c>
      <c r="G84">
        <v>10412244</v>
      </c>
      <c r="H84">
        <v>3.49E-2</v>
      </c>
      <c r="I84">
        <v>0.66</v>
      </c>
      <c r="J84">
        <v>0.57999999999999996</v>
      </c>
      <c r="K84" t="b">
        <f t="shared" si="4"/>
        <v>1</v>
      </c>
      <c r="L84" t="b">
        <f t="shared" si="5"/>
        <v>1</v>
      </c>
    </row>
    <row r="85" spans="1:12" x14ac:dyDescent="0.3">
      <c r="A85" t="s">
        <v>98</v>
      </c>
      <c r="B85" t="s">
        <v>17</v>
      </c>
      <c r="C85">
        <v>47962641</v>
      </c>
      <c r="D85">
        <v>9963</v>
      </c>
      <c r="E85">
        <v>1233</v>
      </c>
      <c r="F85">
        <f t="shared" si="3"/>
        <v>4814.08</v>
      </c>
      <c r="G85">
        <v>48137750</v>
      </c>
      <c r="H85">
        <v>8.7499999999999994E-2</v>
      </c>
      <c r="I85">
        <v>0.38</v>
      </c>
      <c r="J85">
        <v>1</v>
      </c>
      <c r="K85" t="b">
        <f t="shared" si="4"/>
        <v>1</v>
      </c>
      <c r="L85" t="b">
        <f t="shared" si="5"/>
        <v>1</v>
      </c>
    </row>
    <row r="86" spans="1:12" x14ac:dyDescent="0.3">
      <c r="A86" t="s">
        <v>99</v>
      </c>
      <c r="B86" t="s">
        <v>15</v>
      </c>
      <c r="C86">
        <v>36163661</v>
      </c>
      <c r="D86">
        <v>12603</v>
      </c>
      <c r="E86">
        <v>2254</v>
      </c>
      <c r="F86">
        <f t="shared" si="3"/>
        <v>2869.45</v>
      </c>
      <c r="G86">
        <v>33020860</v>
      </c>
      <c r="H86">
        <v>0.191</v>
      </c>
      <c r="I86">
        <v>0.73</v>
      </c>
      <c r="J86">
        <v>0.91</v>
      </c>
      <c r="K86" t="b">
        <f t="shared" si="4"/>
        <v>1</v>
      </c>
      <c r="L86" t="b">
        <f t="shared" si="5"/>
        <v>1</v>
      </c>
    </row>
    <row r="87" spans="1:12" x14ac:dyDescent="0.3">
      <c r="A87" t="s">
        <v>100</v>
      </c>
      <c r="B87" t="s">
        <v>13</v>
      </c>
      <c r="C87">
        <v>48164738</v>
      </c>
      <c r="D87">
        <v>9525</v>
      </c>
      <c r="E87">
        <v>2303</v>
      </c>
      <c r="F87">
        <f t="shared" si="3"/>
        <v>5056.67</v>
      </c>
      <c r="G87">
        <v>62566120</v>
      </c>
      <c r="H87">
        <v>0.19439999999999999</v>
      </c>
      <c r="I87">
        <v>0.42</v>
      </c>
      <c r="J87">
        <v>1.3</v>
      </c>
      <c r="K87" t="b">
        <f t="shared" si="4"/>
        <v>1</v>
      </c>
      <c r="L87" t="b">
        <f t="shared" si="5"/>
        <v>1</v>
      </c>
    </row>
    <row r="88" spans="1:12" x14ac:dyDescent="0.3">
      <c r="A88" t="s">
        <v>101</v>
      </c>
      <c r="B88" t="s">
        <v>13</v>
      </c>
      <c r="C88">
        <v>13401475</v>
      </c>
      <c r="D88">
        <v>45661</v>
      </c>
      <c r="E88">
        <v>2731</v>
      </c>
      <c r="F88">
        <f t="shared" si="3"/>
        <v>293.5</v>
      </c>
      <c r="G88">
        <v>21721464</v>
      </c>
      <c r="H88">
        <v>0.1056</v>
      </c>
      <c r="I88">
        <v>0.26</v>
      </c>
      <c r="J88">
        <v>1.62</v>
      </c>
      <c r="K88" t="b">
        <f t="shared" si="4"/>
        <v>1</v>
      </c>
      <c r="L88" t="b">
        <f t="shared" si="5"/>
        <v>1</v>
      </c>
    </row>
    <row r="89" spans="1:12" x14ac:dyDescent="0.3">
      <c r="A89" t="s">
        <v>102</v>
      </c>
      <c r="B89" t="s">
        <v>15</v>
      </c>
      <c r="C89">
        <v>5838139</v>
      </c>
      <c r="D89">
        <v>6443</v>
      </c>
      <c r="E89">
        <v>55</v>
      </c>
      <c r="F89">
        <f t="shared" si="3"/>
        <v>906.12</v>
      </c>
      <c r="G89">
        <v>82431589</v>
      </c>
      <c r="H89">
        <v>0.09</v>
      </c>
      <c r="I89">
        <v>0.22</v>
      </c>
      <c r="J89">
        <v>14.12</v>
      </c>
      <c r="K89" t="b">
        <f t="shared" si="4"/>
        <v>1</v>
      </c>
      <c r="L89" t="b">
        <f t="shared" si="5"/>
        <v>1</v>
      </c>
    </row>
    <row r="90" spans="1:12" x14ac:dyDescent="0.3">
      <c r="A90" t="s">
        <v>103</v>
      </c>
      <c r="B90" t="s">
        <v>19</v>
      </c>
      <c r="C90">
        <v>28577561</v>
      </c>
      <c r="D90">
        <v>30161</v>
      </c>
      <c r="E90">
        <v>1281</v>
      </c>
      <c r="F90">
        <f t="shared" si="3"/>
        <v>947.5</v>
      </c>
      <c r="G90">
        <v>77770015</v>
      </c>
      <c r="H90">
        <v>6.1400000000000003E-2</v>
      </c>
      <c r="I90">
        <v>0.24</v>
      </c>
      <c r="J90">
        <v>2.72</v>
      </c>
      <c r="K90" t="b">
        <f t="shared" si="4"/>
        <v>1</v>
      </c>
      <c r="L90" t="b">
        <f t="shared" si="5"/>
        <v>1</v>
      </c>
    </row>
    <row r="91" spans="1:12" x14ac:dyDescent="0.3">
      <c r="A91" t="s">
        <v>104</v>
      </c>
      <c r="B91" t="s">
        <v>13</v>
      </c>
      <c r="C91">
        <v>5070372</v>
      </c>
      <c r="D91">
        <v>41013</v>
      </c>
      <c r="E91">
        <v>1695</v>
      </c>
      <c r="F91">
        <f t="shared" si="3"/>
        <v>123.63</v>
      </c>
      <c r="G91">
        <v>68867323</v>
      </c>
      <c r="H91">
        <v>1.11E-2</v>
      </c>
      <c r="I91">
        <v>0.72</v>
      </c>
      <c r="J91">
        <v>13.58</v>
      </c>
      <c r="K91" t="b">
        <f t="shared" si="4"/>
        <v>1</v>
      </c>
      <c r="L91" t="b">
        <f t="shared" si="5"/>
        <v>1</v>
      </c>
    </row>
    <row r="92" spans="1:12" x14ac:dyDescent="0.3">
      <c r="A92" t="s">
        <v>105</v>
      </c>
      <c r="B92" t="s">
        <v>13</v>
      </c>
      <c r="C92">
        <v>11126749</v>
      </c>
      <c r="D92">
        <v>29771</v>
      </c>
      <c r="E92">
        <v>1880</v>
      </c>
      <c r="F92">
        <f t="shared" si="3"/>
        <v>373.74</v>
      </c>
      <c r="G92">
        <v>83518771</v>
      </c>
      <c r="H92">
        <v>0.17780000000000001</v>
      </c>
      <c r="I92">
        <v>0.41</v>
      </c>
      <c r="J92">
        <v>7.51</v>
      </c>
      <c r="K92" t="b">
        <f t="shared" si="4"/>
        <v>1</v>
      </c>
      <c r="L92" t="b">
        <f t="shared" si="5"/>
        <v>1</v>
      </c>
    </row>
    <row r="93" spans="1:12" x14ac:dyDescent="0.3">
      <c r="A93" t="s">
        <v>106</v>
      </c>
      <c r="B93" t="s">
        <v>15</v>
      </c>
      <c r="C93">
        <v>21855060</v>
      </c>
      <c r="D93">
        <v>3323</v>
      </c>
      <c r="E93">
        <v>451</v>
      </c>
      <c r="F93">
        <f t="shared" si="3"/>
        <v>6576.91</v>
      </c>
      <c r="G93">
        <v>12176602</v>
      </c>
      <c r="H93">
        <v>0.1053</v>
      </c>
      <c r="I93">
        <v>0.39</v>
      </c>
      <c r="J93">
        <v>0.56000000000000005</v>
      </c>
      <c r="K93" t="b">
        <f t="shared" si="4"/>
        <v>1</v>
      </c>
      <c r="L93" t="b">
        <f t="shared" si="5"/>
        <v>1</v>
      </c>
    </row>
    <row r="94" spans="1:12" x14ac:dyDescent="0.3">
      <c r="A94" t="s">
        <v>107</v>
      </c>
      <c r="B94" t="s">
        <v>13</v>
      </c>
      <c r="C94">
        <v>22047173</v>
      </c>
      <c r="D94">
        <v>15972</v>
      </c>
      <c r="E94">
        <v>1639</v>
      </c>
      <c r="F94">
        <f t="shared" si="3"/>
        <v>1380.36</v>
      </c>
      <c r="G94">
        <v>28446436</v>
      </c>
      <c r="H94">
        <v>0.1822</v>
      </c>
      <c r="I94">
        <v>0.7</v>
      </c>
      <c r="J94">
        <v>1.29</v>
      </c>
      <c r="K94" t="b">
        <f t="shared" si="4"/>
        <v>1</v>
      </c>
      <c r="L94" t="b">
        <f t="shared" si="5"/>
        <v>1</v>
      </c>
    </row>
    <row r="95" spans="1:12" x14ac:dyDescent="0.3">
      <c r="A95" t="s">
        <v>108</v>
      </c>
      <c r="B95" t="s">
        <v>17</v>
      </c>
      <c r="C95">
        <v>16265679</v>
      </c>
      <c r="D95">
        <v>36558</v>
      </c>
      <c r="E95">
        <v>936</v>
      </c>
      <c r="F95">
        <f t="shared" si="3"/>
        <v>444.93</v>
      </c>
      <c r="G95">
        <v>93245905</v>
      </c>
      <c r="H95">
        <v>0.152</v>
      </c>
      <c r="I95">
        <v>0.23</v>
      </c>
      <c r="J95">
        <v>5.73</v>
      </c>
      <c r="K95" t="b">
        <f t="shared" si="4"/>
        <v>1</v>
      </c>
      <c r="L95" t="b">
        <f t="shared" si="5"/>
        <v>1</v>
      </c>
    </row>
    <row r="96" spans="1:12" x14ac:dyDescent="0.3">
      <c r="A96" t="s">
        <v>109</v>
      </c>
      <c r="B96" t="s">
        <v>15</v>
      </c>
      <c r="C96">
        <v>48509771</v>
      </c>
      <c r="D96">
        <v>26083</v>
      </c>
      <c r="E96">
        <v>1600</v>
      </c>
      <c r="F96">
        <f t="shared" si="3"/>
        <v>1859.82</v>
      </c>
      <c r="G96">
        <v>11080056</v>
      </c>
      <c r="H96">
        <v>6.7799999999999999E-2</v>
      </c>
      <c r="I96">
        <v>0.33</v>
      </c>
      <c r="J96">
        <v>0.23</v>
      </c>
      <c r="K96" t="b">
        <f t="shared" si="4"/>
        <v>1</v>
      </c>
      <c r="L96" t="b">
        <f t="shared" si="5"/>
        <v>1</v>
      </c>
    </row>
    <row r="97" spans="1:12" x14ac:dyDescent="0.3">
      <c r="A97" t="s">
        <v>110</v>
      </c>
      <c r="B97" t="s">
        <v>17</v>
      </c>
      <c r="C97">
        <v>23206253</v>
      </c>
      <c r="D97">
        <v>45575</v>
      </c>
      <c r="E97">
        <v>1966</v>
      </c>
      <c r="F97">
        <f t="shared" si="3"/>
        <v>509.19</v>
      </c>
      <c r="G97">
        <v>72979209</v>
      </c>
      <c r="H97">
        <v>3.5099999999999999E-2</v>
      </c>
      <c r="I97">
        <v>0.5</v>
      </c>
      <c r="J97">
        <v>3.14</v>
      </c>
      <c r="K97" t="b">
        <f t="shared" si="4"/>
        <v>1</v>
      </c>
      <c r="L97" t="b">
        <f t="shared" si="5"/>
        <v>1</v>
      </c>
    </row>
    <row r="98" spans="1:12" x14ac:dyDescent="0.3">
      <c r="A98" t="s">
        <v>111</v>
      </c>
      <c r="B98" t="s">
        <v>15</v>
      </c>
      <c r="C98">
        <v>11106657</v>
      </c>
      <c r="D98">
        <v>37631</v>
      </c>
      <c r="E98">
        <v>903</v>
      </c>
      <c r="F98">
        <f t="shared" si="3"/>
        <v>295.14999999999998</v>
      </c>
      <c r="G98">
        <v>96125841</v>
      </c>
      <c r="H98">
        <v>0.1852</v>
      </c>
      <c r="I98">
        <v>0.39</v>
      </c>
      <c r="J98">
        <v>8.65</v>
      </c>
      <c r="K98" t="b">
        <f t="shared" si="4"/>
        <v>1</v>
      </c>
      <c r="L98" t="b">
        <f t="shared" si="5"/>
        <v>1</v>
      </c>
    </row>
    <row r="99" spans="1:12" x14ac:dyDescent="0.3">
      <c r="A99" t="s">
        <v>112</v>
      </c>
      <c r="B99" t="s">
        <v>19</v>
      </c>
      <c r="C99">
        <v>37925396</v>
      </c>
      <c r="D99">
        <v>36064</v>
      </c>
      <c r="E99">
        <v>2921</v>
      </c>
      <c r="F99">
        <f t="shared" si="3"/>
        <v>1051.6099999999999</v>
      </c>
      <c r="G99">
        <v>66174181</v>
      </c>
      <c r="H99">
        <v>0.1016</v>
      </c>
      <c r="I99">
        <v>0.67</v>
      </c>
      <c r="J99">
        <v>1.74</v>
      </c>
      <c r="K99" t="b">
        <f t="shared" si="4"/>
        <v>1</v>
      </c>
      <c r="L99" t="b">
        <f t="shared" si="5"/>
        <v>1</v>
      </c>
    </row>
    <row r="100" spans="1:12" x14ac:dyDescent="0.3">
      <c r="A100" t="s">
        <v>113</v>
      </c>
      <c r="B100" t="s">
        <v>13</v>
      </c>
      <c r="C100">
        <v>40853781</v>
      </c>
      <c r="D100">
        <v>13881</v>
      </c>
      <c r="E100">
        <v>2301</v>
      </c>
      <c r="F100">
        <f t="shared" si="3"/>
        <v>2943.14</v>
      </c>
      <c r="G100">
        <v>35763075</v>
      </c>
      <c r="H100">
        <v>0.19489999999999999</v>
      </c>
      <c r="I100">
        <v>0.56000000000000005</v>
      </c>
      <c r="J100">
        <v>0.88</v>
      </c>
      <c r="K100" t="b">
        <f t="shared" si="4"/>
        <v>1</v>
      </c>
      <c r="L100" t="b">
        <f t="shared" si="5"/>
        <v>1</v>
      </c>
    </row>
    <row r="101" spans="1:12" x14ac:dyDescent="0.3">
      <c r="A101" t="s">
        <v>114</v>
      </c>
      <c r="B101" t="s">
        <v>19</v>
      </c>
      <c r="C101">
        <v>28054534</v>
      </c>
      <c r="D101">
        <v>32077</v>
      </c>
      <c r="E101">
        <v>2714</v>
      </c>
      <c r="F101">
        <f t="shared" si="3"/>
        <v>874.6</v>
      </c>
      <c r="G101">
        <v>77879920</v>
      </c>
      <c r="H101">
        <v>3.0300000000000001E-2</v>
      </c>
      <c r="I101">
        <v>0.74</v>
      </c>
      <c r="J101">
        <v>2.78</v>
      </c>
      <c r="K101" t="b">
        <f t="shared" si="4"/>
        <v>1</v>
      </c>
      <c r="L101" t="b">
        <f t="shared" si="5"/>
        <v>1</v>
      </c>
    </row>
    <row r="102" spans="1:12" x14ac:dyDescent="0.3">
      <c r="A102" t="s">
        <v>115</v>
      </c>
      <c r="B102" t="s">
        <v>13</v>
      </c>
      <c r="C102">
        <v>15865787</v>
      </c>
      <c r="D102">
        <v>21069</v>
      </c>
      <c r="E102">
        <v>73</v>
      </c>
      <c r="F102">
        <f t="shared" si="3"/>
        <v>753.04</v>
      </c>
      <c r="G102">
        <v>83625131</v>
      </c>
      <c r="H102">
        <v>5.16E-2</v>
      </c>
      <c r="I102">
        <v>0.61</v>
      </c>
      <c r="J102">
        <v>5.27</v>
      </c>
      <c r="K102" t="b">
        <f t="shared" si="4"/>
        <v>1</v>
      </c>
      <c r="L102" t="b">
        <f t="shared" si="5"/>
        <v>1</v>
      </c>
    </row>
    <row r="103" spans="1:12" x14ac:dyDescent="0.3">
      <c r="A103" t="s">
        <v>116</v>
      </c>
      <c r="B103" t="s">
        <v>15</v>
      </c>
      <c r="C103">
        <v>22182796</v>
      </c>
      <c r="D103">
        <v>42791</v>
      </c>
      <c r="E103">
        <v>187</v>
      </c>
      <c r="F103">
        <f t="shared" si="3"/>
        <v>518.4</v>
      </c>
      <c r="G103">
        <v>69181127</v>
      </c>
      <c r="H103">
        <v>0.13489999999999999</v>
      </c>
      <c r="I103">
        <v>0.28000000000000003</v>
      </c>
      <c r="J103">
        <v>3.12</v>
      </c>
      <c r="K103" t="b">
        <f t="shared" si="4"/>
        <v>1</v>
      </c>
      <c r="L103" t="b">
        <f t="shared" si="5"/>
        <v>1</v>
      </c>
    </row>
    <row r="104" spans="1:12" x14ac:dyDescent="0.3">
      <c r="A104" t="s">
        <v>117</v>
      </c>
      <c r="B104" t="s">
        <v>11</v>
      </c>
      <c r="C104">
        <v>7142677</v>
      </c>
      <c r="D104">
        <v>24689</v>
      </c>
      <c r="E104">
        <v>2566</v>
      </c>
      <c r="F104">
        <f t="shared" si="3"/>
        <v>289.31</v>
      </c>
      <c r="G104">
        <v>83698006</v>
      </c>
      <c r="H104">
        <v>0.1157</v>
      </c>
      <c r="I104">
        <v>0.42</v>
      </c>
      <c r="J104">
        <v>11.72</v>
      </c>
      <c r="K104" t="b">
        <f t="shared" si="4"/>
        <v>1</v>
      </c>
      <c r="L104" t="b">
        <f t="shared" si="5"/>
        <v>1</v>
      </c>
    </row>
    <row r="105" spans="1:12" x14ac:dyDescent="0.3">
      <c r="A105" t="s">
        <v>118</v>
      </c>
      <c r="B105" t="s">
        <v>11</v>
      </c>
      <c r="C105">
        <v>36616335</v>
      </c>
      <c r="D105">
        <v>40190</v>
      </c>
      <c r="E105">
        <v>2355</v>
      </c>
      <c r="F105">
        <f t="shared" si="3"/>
        <v>911.08</v>
      </c>
      <c r="G105">
        <v>21396043</v>
      </c>
      <c r="H105">
        <v>2.18E-2</v>
      </c>
      <c r="I105">
        <v>0.49</v>
      </c>
      <c r="J105">
        <v>0.57999999999999996</v>
      </c>
      <c r="K105" t="b">
        <f t="shared" si="4"/>
        <v>1</v>
      </c>
      <c r="L105" t="b">
        <f t="shared" si="5"/>
        <v>1</v>
      </c>
    </row>
    <row r="106" spans="1:12" x14ac:dyDescent="0.3">
      <c r="A106" t="s">
        <v>119</v>
      </c>
      <c r="B106" t="s">
        <v>19</v>
      </c>
      <c r="C106">
        <v>34524474</v>
      </c>
      <c r="D106">
        <v>49588</v>
      </c>
      <c r="E106">
        <v>2545</v>
      </c>
      <c r="F106">
        <f t="shared" si="3"/>
        <v>696.23</v>
      </c>
      <c r="G106">
        <v>81250317</v>
      </c>
      <c r="H106">
        <v>0.1066</v>
      </c>
      <c r="I106">
        <v>0.56999999999999995</v>
      </c>
      <c r="J106">
        <v>2.35</v>
      </c>
      <c r="K106" t="b">
        <f t="shared" si="4"/>
        <v>1</v>
      </c>
      <c r="L106" t="b">
        <f t="shared" si="5"/>
        <v>1</v>
      </c>
    </row>
    <row r="107" spans="1:12" x14ac:dyDescent="0.3">
      <c r="A107" t="s">
        <v>120</v>
      </c>
      <c r="B107" t="s">
        <v>19</v>
      </c>
      <c r="C107">
        <v>7463807</v>
      </c>
      <c r="D107">
        <v>34000</v>
      </c>
      <c r="E107">
        <v>640</v>
      </c>
      <c r="F107">
        <f t="shared" si="3"/>
        <v>219.52</v>
      </c>
      <c r="G107">
        <v>21359420</v>
      </c>
      <c r="H107">
        <v>0.18129999999999999</v>
      </c>
      <c r="I107">
        <v>0.55000000000000004</v>
      </c>
      <c r="J107">
        <v>2.86</v>
      </c>
      <c r="K107" t="b">
        <f t="shared" si="4"/>
        <v>1</v>
      </c>
      <c r="L107" t="b">
        <f t="shared" si="5"/>
        <v>1</v>
      </c>
    </row>
    <row r="108" spans="1:12" x14ac:dyDescent="0.3">
      <c r="A108" t="s">
        <v>121</v>
      </c>
      <c r="B108" t="s">
        <v>13</v>
      </c>
      <c r="C108">
        <v>39787645</v>
      </c>
      <c r="D108">
        <v>37699</v>
      </c>
      <c r="E108">
        <v>756</v>
      </c>
      <c r="F108">
        <f t="shared" si="3"/>
        <v>1055.4000000000001</v>
      </c>
      <c r="G108">
        <v>91990656</v>
      </c>
      <c r="H108">
        <v>0.16239999999999999</v>
      </c>
      <c r="I108">
        <v>0.71</v>
      </c>
      <c r="J108">
        <v>2.31</v>
      </c>
      <c r="K108" t="b">
        <f t="shared" si="4"/>
        <v>1</v>
      </c>
      <c r="L108" t="b">
        <f t="shared" si="5"/>
        <v>1</v>
      </c>
    </row>
    <row r="109" spans="1:12" x14ac:dyDescent="0.3">
      <c r="A109" t="s">
        <v>122</v>
      </c>
      <c r="B109" t="s">
        <v>11</v>
      </c>
      <c r="C109">
        <v>28497310</v>
      </c>
      <c r="D109">
        <v>25343</v>
      </c>
      <c r="E109">
        <v>2558</v>
      </c>
      <c r="F109">
        <f t="shared" si="3"/>
        <v>1124.46</v>
      </c>
      <c r="G109">
        <v>33532436</v>
      </c>
      <c r="H109">
        <v>3.8199999999999998E-2</v>
      </c>
      <c r="I109">
        <v>0.67</v>
      </c>
      <c r="J109">
        <v>1.18</v>
      </c>
      <c r="K109" t="b">
        <f t="shared" si="4"/>
        <v>1</v>
      </c>
      <c r="L109" t="b">
        <f t="shared" si="5"/>
        <v>1</v>
      </c>
    </row>
    <row r="110" spans="1:12" x14ac:dyDescent="0.3">
      <c r="A110" t="s">
        <v>123</v>
      </c>
      <c r="B110" t="s">
        <v>17</v>
      </c>
      <c r="C110">
        <v>22899203</v>
      </c>
      <c r="D110">
        <v>32423</v>
      </c>
      <c r="E110">
        <v>2019</v>
      </c>
      <c r="F110">
        <f t="shared" si="3"/>
        <v>706.26</v>
      </c>
      <c r="G110">
        <v>17622895</v>
      </c>
      <c r="H110">
        <v>9.0399999999999994E-2</v>
      </c>
      <c r="I110">
        <v>0.38</v>
      </c>
      <c r="J110">
        <v>0.77</v>
      </c>
      <c r="K110" t="b">
        <f t="shared" si="4"/>
        <v>1</v>
      </c>
      <c r="L110" t="b">
        <f t="shared" si="5"/>
        <v>1</v>
      </c>
    </row>
    <row r="111" spans="1:12" x14ac:dyDescent="0.3">
      <c r="A111" t="s">
        <v>124</v>
      </c>
      <c r="B111" t="s">
        <v>19</v>
      </c>
      <c r="C111">
        <v>9397586</v>
      </c>
      <c r="D111">
        <v>31395</v>
      </c>
      <c r="E111">
        <v>849</v>
      </c>
      <c r="F111">
        <f t="shared" si="3"/>
        <v>299.33</v>
      </c>
      <c r="G111">
        <v>57092048</v>
      </c>
      <c r="H111">
        <v>0.16880000000000001</v>
      </c>
      <c r="I111">
        <v>0.68</v>
      </c>
      <c r="J111">
        <v>6.08</v>
      </c>
      <c r="K111" t="b">
        <f t="shared" si="4"/>
        <v>1</v>
      </c>
      <c r="L111" t="b">
        <f t="shared" si="5"/>
        <v>1</v>
      </c>
    </row>
    <row r="112" spans="1:12" x14ac:dyDescent="0.3">
      <c r="A112" t="s">
        <v>125</v>
      </c>
      <c r="B112" t="s">
        <v>13</v>
      </c>
      <c r="C112">
        <v>21166440</v>
      </c>
      <c r="D112">
        <v>31264</v>
      </c>
      <c r="E112">
        <v>2583</v>
      </c>
      <c r="F112">
        <f t="shared" si="3"/>
        <v>677.02</v>
      </c>
      <c r="G112">
        <v>41872547</v>
      </c>
      <c r="H112">
        <v>0.11169999999999999</v>
      </c>
      <c r="I112">
        <v>0.28999999999999998</v>
      </c>
      <c r="J112">
        <v>1.98</v>
      </c>
      <c r="K112" t="b">
        <f t="shared" si="4"/>
        <v>1</v>
      </c>
      <c r="L112" t="b">
        <f t="shared" si="5"/>
        <v>1</v>
      </c>
    </row>
    <row r="113" spans="1:12" x14ac:dyDescent="0.3">
      <c r="A113" t="s">
        <v>126</v>
      </c>
      <c r="B113" t="s">
        <v>13</v>
      </c>
      <c r="C113">
        <v>17091644</v>
      </c>
      <c r="D113">
        <v>24143</v>
      </c>
      <c r="E113">
        <v>310</v>
      </c>
      <c r="F113">
        <f t="shared" si="3"/>
        <v>707.93</v>
      </c>
      <c r="G113">
        <v>36827082</v>
      </c>
      <c r="H113">
        <v>0.1845</v>
      </c>
      <c r="I113">
        <v>0.73</v>
      </c>
      <c r="J113">
        <v>2.15</v>
      </c>
      <c r="K113" t="b">
        <f t="shared" si="4"/>
        <v>1</v>
      </c>
      <c r="L113" t="b">
        <f t="shared" si="5"/>
        <v>1</v>
      </c>
    </row>
    <row r="114" spans="1:12" x14ac:dyDescent="0.3">
      <c r="A114" t="s">
        <v>127</v>
      </c>
      <c r="B114" t="s">
        <v>17</v>
      </c>
      <c r="C114">
        <v>41468312</v>
      </c>
      <c r="D114">
        <v>6896</v>
      </c>
      <c r="E114">
        <v>1425</v>
      </c>
      <c r="F114">
        <f t="shared" si="3"/>
        <v>6013.39</v>
      </c>
      <c r="G114">
        <v>77828850</v>
      </c>
      <c r="H114">
        <v>8.1299999999999997E-2</v>
      </c>
      <c r="I114">
        <v>0.53</v>
      </c>
      <c r="J114">
        <v>1.88</v>
      </c>
      <c r="K114" t="b">
        <f t="shared" si="4"/>
        <v>1</v>
      </c>
      <c r="L114" t="b">
        <f t="shared" si="5"/>
        <v>1</v>
      </c>
    </row>
    <row r="115" spans="1:12" x14ac:dyDescent="0.3">
      <c r="A115" t="s">
        <v>128</v>
      </c>
      <c r="B115" t="s">
        <v>17</v>
      </c>
      <c r="C115">
        <v>12352916</v>
      </c>
      <c r="D115">
        <v>32921</v>
      </c>
      <c r="E115">
        <v>1874</v>
      </c>
      <c r="F115">
        <f t="shared" si="3"/>
        <v>375.23</v>
      </c>
      <c r="G115">
        <v>81887956</v>
      </c>
      <c r="H115">
        <v>0.19500000000000001</v>
      </c>
      <c r="I115">
        <v>0.21</v>
      </c>
      <c r="J115">
        <v>6.63</v>
      </c>
      <c r="K115" t="b">
        <f t="shared" si="4"/>
        <v>1</v>
      </c>
      <c r="L115" t="b">
        <f t="shared" si="5"/>
        <v>1</v>
      </c>
    </row>
    <row r="116" spans="1:12" x14ac:dyDescent="0.3">
      <c r="A116" t="s">
        <v>129</v>
      </c>
      <c r="B116" t="s">
        <v>15</v>
      </c>
      <c r="C116">
        <v>14701866</v>
      </c>
      <c r="D116">
        <v>39593</v>
      </c>
      <c r="E116">
        <v>440</v>
      </c>
      <c r="F116">
        <f t="shared" si="3"/>
        <v>371.32</v>
      </c>
      <c r="G116">
        <v>43330477</v>
      </c>
      <c r="H116">
        <v>0.18049999999999999</v>
      </c>
      <c r="I116">
        <v>0.79</v>
      </c>
      <c r="J116">
        <v>2.95</v>
      </c>
      <c r="K116" t="b">
        <f t="shared" si="4"/>
        <v>1</v>
      </c>
      <c r="L116" t="b">
        <f t="shared" si="5"/>
        <v>1</v>
      </c>
    </row>
    <row r="117" spans="1:12" x14ac:dyDescent="0.3">
      <c r="A117" t="s">
        <v>130</v>
      </c>
      <c r="B117" t="s">
        <v>11</v>
      </c>
      <c r="C117">
        <v>23011551</v>
      </c>
      <c r="D117">
        <v>48221</v>
      </c>
      <c r="E117">
        <v>726</v>
      </c>
      <c r="F117">
        <f t="shared" si="3"/>
        <v>477.21</v>
      </c>
      <c r="G117">
        <v>70467566</v>
      </c>
      <c r="H117">
        <v>4.8300000000000003E-2</v>
      </c>
      <c r="I117">
        <v>0.67</v>
      </c>
      <c r="J117">
        <v>3.06</v>
      </c>
      <c r="K117" t="b">
        <f t="shared" si="4"/>
        <v>1</v>
      </c>
      <c r="L117" t="b">
        <f t="shared" si="5"/>
        <v>1</v>
      </c>
    </row>
    <row r="118" spans="1:12" x14ac:dyDescent="0.3">
      <c r="A118" t="s">
        <v>131</v>
      </c>
      <c r="B118" t="s">
        <v>19</v>
      </c>
      <c r="C118">
        <v>17384615</v>
      </c>
      <c r="D118">
        <v>38820</v>
      </c>
      <c r="E118">
        <v>1139</v>
      </c>
      <c r="F118">
        <f t="shared" si="3"/>
        <v>447.83</v>
      </c>
      <c r="G118">
        <v>34113184</v>
      </c>
      <c r="H118">
        <v>0.1588</v>
      </c>
      <c r="I118">
        <v>0.24</v>
      </c>
      <c r="J118">
        <v>1.96</v>
      </c>
      <c r="K118" t="b">
        <f t="shared" si="4"/>
        <v>1</v>
      </c>
      <c r="L118" t="b">
        <f t="shared" si="5"/>
        <v>1</v>
      </c>
    </row>
    <row r="119" spans="1:12" x14ac:dyDescent="0.3">
      <c r="A119" t="s">
        <v>132</v>
      </c>
      <c r="B119" t="s">
        <v>13</v>
      </c>
      <c r="C119">
        <v>17347835</v>
      </c>
      <c r="D119">
        <v>47309</v>
      </c>
      <c r="E119">
        <v>361</v>
      </c>
      <c r="F119">
        <f t="shared" si="3"/>
        <v>366.69</v>
      </c>
      <c r="G119">
        <v>34063272</v>
      </c>
      <c r="H119">
        <v>0.13750000000000001</v>
      </c>
      <c r="I119">
        <v>0.23</v>
      </c>
      <c r="J119">
        <v>1.96</v>
      </c>
      <c r="K119" t="b">
        <f t="shared" si="4"/>
        <v>1</v>
      </c>
      <c r="L119" t="b">
        <f t="shared" si="5"/>
        <v>1</v>
      </c>
    </row>
    <row r="120" spans="1:12" x14ac:dyDescent="0.3">
      <c r="A120" t="s">
        <v>133</v>
      </c>
      <c r="B120" t="s">
        <v>19</v>
      </c>
      <c r="C120">
        <v>49632829</v>
      </c>
      <c r="D120">
        <v>9395</v>
      </c>
      <c r="E120">
        <v>900</v>
      </c>
      <c r="F120">
        <f t="shared" si="3"/>
        <v>5282.9</v>
      </c>
      <c r="G120">
        <v>11858899</v>
      </c>
      <c r="H120">
        <v>0.1157</v>
      </c>
      <c r="I120">
        <v>0.62</v>
      </c>
      <c r="J120">
        <v>0.24</v>
      </c>
      <c r="K120" t="b">
        <f t="shared" si="4"/>
        <v>1</v>
      </c>
      <c r="L120" t="b">
        <f t="shared" si="5"/>
        <v>1</v>
      </c>
    </row>
    <row r="121" spans="1:12" x14ac:dyDescent="0.3">
      <c r="A121" t="s">
        <v>134</v>
      </c>
      <c r="B121" t="s">
        <v>15</v>
      </c>
      <c r="C121">
        <v>9711541</v>
      </c>
      <c r="D121">
        <v>24859</v>
      </c>
      <c r="E121">
        <v>292</v>
      </c>
      <c r="F121">
        <f t="shared" si="3"/>
        <v>390.66</v>
      </c>
      <c r="G121">
        <v>96486050</v>
      </c>
      <c r="H121">
        <v>0.16339999999999999</v>
      </c>
      <c r="I121">
        <v>0.52</v>
      </c>
      <c r="J121">
        <v>9.94</v>
      </c>
      <c r="K121" t="b">
        <f t="shared" si="4"/>
        <v>1</v>
      </c>
      <c r="L121" t="b">
        <f t="shared" si="5"/>
        <v>1</v>
      </c>
    </row>
    <row r="122" spans="1:12" x14ac:dyDescent="0.3">
      <c r="A122" t="s">
        <v>135</v>
      </c>
      <c r="B122" t="s">
        <v>11</v>
      </c>
      <c r="C122">
        <v>18541526</v>
      </c>
      <c r="D122">
        <v>17479</v>
      </c>
      <c r="E122">
        <v>1818</v>
      </c>
      <c r="F122">
        <f t="shared" si="3"/>
        <v>1060.79</v>
      </c>
      <c r="G122">
        <v>17358958</v>
      </c>
      <c r="H122">
        <v>8.4599999999999995E-2</v>
      </c>
      <c r="I122">
        <v>0.64</v>
      </c>
      <c r="J122">
        <v>0.94</v>
      </c>
      <c r="K122" t="b">
        <f t="shared" si="4"/>
        <v>1</v>
      </c>
      <c r="L122" t="b">
        <f t="shared" si="5"/>
        <v>1</v>
      </c>
    </row>
    <row r="123" spans="1:12" x14ac:dyDescent="0.3">
      <c r="A123" t="s">
        <v>136</v>
      </c>
      <c r="B123" t="s">
        <v>11</v>
      </c>
      <c r="C123">
        <v>47488173</v>
      </c>
      <c r="D123">
        <v>34642</v>
      </c>
      <c r="E123">
        <v>2327</v>
      </c>
      <c r="F123">
        <f t="shared" si="3"/>
        <v>1370.83</v>
      </c>
      <c r="G123">
        <v>38864407</v>
      </c>
      <c r="H123">
        <v>3.95E-2</v>
      </c>
      <c r="I123">
        <v>0.23</v>
      </c>
      <c r="J123">
        <v>0.82</v>
      </c>
      <c r="K123" t="b">
        <f t="shared" si="4"/>
        <v>1</v>
      </c>
      <c r="L123" t="b">
        <f t="shared" si="5"/>
        <v>1</v>
      </c>
    </row>
    <row r="124" spans="1:12" x14ac:dyDescent="0.3">
      <c r="A124" t="s">
        <v>137</v>
      </c>
      <c r="B124" t="s">
        <v>19</v>
      </c>
      <c r="C124">
        <v>44409715</v>
      </c>
      <c r="D124">
        <v>39826</v>
      </c>
      <c r="E124">
        <v>411</v>
      </c>
      <c r="F124">
        <f t="shared" si="3"/>
        <v>1115.0899999999999</v>
      </c>
      <c r="G124">
        <v>37908882</v>
      </c>
      <c r="H124">
        <v>0.13089999999999999</v>
      </c>
      <c r="I124">
        <v>0.42</v>
      </c>
      <c r="J124">
        <v>0.85</v>
      </c>
      <c r="K124" t="b">
        <f t="shared" si="4"/>
        <v>1</v>
      </c>
      <c r="L124" t="b">
        <f t="shared" si="5"/>
        <v>1</v>
      </c>
    </row>
    <row r="125" spans="1:12" x14ac:dyDescent="0.3">
      <c r="A125" t="s">
        <v>138</v>
      </c>
      <c r="B125" t="s">
        <v>17</v>
      </c>
      <c r="C125">
        <v>7991831</v>
      </c>
      <c r="D125">
        <v>8917</v>
      </c>
      <c r="E125">
        <v>1660</v>
      </c>
      <c r="F125">
        <f t="shared" si="3"/>
        <v>896.25</v>
      </c>
      <c r="G125">
        <v>83279577</v>
      </c>
      <c r="H125">
        <v>7.3800000000000004E-2</v>
      </c>
      <c r="I125">
        <v>0.37</v>
      </c>
      <c r="J125">
        <v>10.42</v>
      </c>
      <c r="K125" t="b">
        <f t="shared" si="4"/>
        <v>1</v>
      </c>
      <c r="L125" t="b">
        <f t="shared" si="5"/>
        <v>1</v>
      </c>
    </row>
    <row r="126" spans="1:12" x14ac:dyDescent="0.3">
      <c r="A126" t="s">
        <v>139</v>
      </c>
      <c r="B126" t="s">
        <v>19</v>
      </c>
      <c r="C126">
        <v>37336671</v>
      </c>
      <c r="D126">
        <v>37900</v>
      </c>
      <c r="E126">
        <v>2215</v>
      </c>
      <c r="F126">
        <f t="shared" si="3"/>
        <v>985.14</v>
      </c>
      <c r="G126">
        <v>85519773</v>
      </c>
      <c r="H126">
        <v>3.9899999999999998E-2</v>
      </c>
      <c r="I126">
        <v>0.43</v>
      </c>
      <c r="J126">
        <v>2.29</v>
      </c>
      <c r="K126" t="b">
        <f t="shared" si="4"/>
        <v>1</v>
      </c>
      <c r="L126" t="b">
        <f t="shared" si="5"/>
        <v>1</v>
      </c>
    </row>
    <row r="127" spans="1:12" x14ac:dyDescent="0.3">
      <c r="A127" t="s">
        <v>140</v>
      </c>
      <c r="B127" t="s">
        <v>13</v>
      </c>
      <c r="C127">
        <v>5496597</v>
      </c>
      <c r="D127">
        <v>10839</v>
      </c>
      <c r="E127">
        <v>1310</v>
      </c>
      <c r="F127">
        <f t="shared" si="3"/>
        <v>507.11</v>
      </c>
      <c r="G127">
        <v>66377063</v>
      </c>
      <c r="H127">
        <v>0.13950000000000001</v>
      </c>
      <c r="I127">
        <v>0.59</v>
      </c>
      <c r="J127">
        <v>12.08</v>
      </c>
      <c r="K127" t="b">
        <f t="shared" si="4"/>
        <v>1</v>
      </c>
      <c r="L127" t="b">
        <f t="shared" si="5"/>
        <v>1</v>
      </c>
    </row>
    <row r="128" spans="1:12" x14ac:dyDescent="0.3">
      <c r="A128" t="s">
        <v>141</v>
      </c>
      <c r="B128" t="s">
        <v>11</v>
      </c>
      <c r="C128">
        <v>31571299</v>
      </c>
      <c r="D128">
        <v>27884</v>
      </c>
      <c r="E128">
        <v>2181</v>
      </c>
      <c r="F128">
        <f t="shared" ref="F128:F188" si="6">IF(D128 = 0,FALSE,ROUND(C128/D128,2))</f>
        <v>1132.24</v>
      </c>
      <c r="G128">
        <v>25173878</v>
      </c>
      <c r="H128">
        <v>0.113</v>
      </c>
      <c r="I128">
        <v>0.78</v>
      </c>
      <c r="J128">
        <v>0.8</v>
      </c>
      <c r="K128" t="b">
        <f t="shared" ref="K128:K188" si="7" xml:space="preserve"> IF(E128&gt;D128,FALSE,TRUE)</f>
        <v>1</v>
      </c>
      <c r="L128" t="b">
        <f t="shared" ref="L128:L190" si="8">IF(E128/D128*100&gt;50,FALSE,TRUE)</f>
        <v>1</v>
      </c>
    </row>
    <row r="129" spans="1:12" x14ac:dyDescent="0.3">
      <c r="A129" t="s">
        <v>142</v>
      </c>
      <c r="B129" t="s">
        <v>13</v>
      </c>
      <c r="C129">
        <v>43857175</v>
      </c>
      <c r="D129">
        <v>24060</v>
      </c>
      <c r="E129">
        <v>311</v>
      </c>
      <c r="F129">
        <f t="shared" si="6"/>
        <v>1822.83</v>
      </c>
      <c r="G129">
        <v>33561884</v>
      </c>
      <c r="H129">
        <v>0.1449</v>
      </c>
      <c r="I129">
        <v>0.28999999999999998</v>
      </c>
      <c r="J129">
        <v>0.77</v>
      </c>
      <c r="K129" t="b">
        <f t="shared" si="7"/>
        <v>1</v>
      </c>
      <c r="L129" t="b">
        <f t="shared" si="8"/>
        <v>1</v>
      </c>
    </row>
    <row r="130" spans="1:12" x14ac:dyDescent="0.3">
      <c r="A130" t="s">
        <v>143</v>
      </c>
      <c r="B130" t="s">
        <v>15</v>
      </c>
      <c r="C130">
        <v>27571435</v>
      </c>
      <c r="D130">
        <v>38112</v>
      </c>
      <c r="E130">
        <v>1222</v>
      </c>
      <c r="F130">
        <f t="shared" si="6"/>
        <v>723.43</v>
      </c>
      <c r="G130">
        <v>87088295</v>
      </c>
      <c r="H130">
        <v>0.16259999999999999</v>
      </c>
      <c r="I130">
        <v>0.31</v>
      </c>
      <c r="J130">
        <v>3.16</v>
      </c>
      <c r="K130" t="b">
        <f t="shared" si="7"/>
        <v>1</v>
      </c>
      <c r="L130" t="b">
        <f t="shared" si="8"/>
        <v>1</v>
      </c>
    </row>
    <row r="131" spans="1:12" x14ac:dyDescent="0.3">
      <c r="A131" t="s">
        <v>144</v>
      </c>
      <c r="B131" t="s">
        <v>17</v>
      </c>
      <c r="C131">
        <v>34279953</v>
      </c>
      <c r="D131">
        <v>9240</v>
      </c>
      <c r="E131">
        <v>2252</v>
      </c>
      <c r="F131">
        <f t="shared" si="6"/>
        <v>3709.95</v>
      </c>
      <c r="G131">
        <v>23432796</v>
      </c>
      <c r="H131">
        <v>5.8599999999999999E-2</v>
      </c>
      <c r="I131">
        <v>0.68</v>
      </c>
      <c r="J131">
        <v>0.68</v>
      </c>
      <c r="K131" t="b">
        <f t="shared" si="7"/>
        <v>1</v>
      </c>
      <c r="L131" t="b">
        <f t="shared" si="8"/>
        <v>1</v>
      </c>
    </row>
    <row r="132" spans="1:12" x14ac:dyDescent="0.3">
      <c r="A132" t="s">
        <v>145</v>
      </c>
      <c r="B132" t="s">
        <v>13</v>
      </c>
      <c r="C132">
        <v>7287420</v>
      </c>
      <c r="D132">
        <v>49261</v>
      </c>
      <c r="E132">
        <v>181</v>
      </c>
      <c r="F132">
        <f t="shared" si="6"/>
        <v>147.93</v>
      </c>
      <c r="G132">
        <v>81792620</v>
      </c>
      <c r="H132">
        <v>8.5500000000000007E-2</v>
      </c>
      <c r="I132">
        <v>0.3</v>
      </c>
      <c r="J132">
        <v>11.22</v>
      </c>
      <c r="K132" t="b">
        <f t="shared" si="7"/>
        <v>1</v>
      </c>
      <c r="L132" t="b">
        <f t="shared" si="8"/>
        <v>1</v>
      </c>
    </row>
    <row r="133" spans="1:12" x14ac:dyDescent="0.3">
      <c r="A133" t="s">
        <v>146</v>
      </c>
      <c r="B133" t="s">
        <v>11</v>
      </c>
      <c r="C133">
        <v>49908814</v>
      </c>
      <c r="D133">
        <v>21660</v>
      </c>
      <c r="E133">
        <v>2185</v>
      </c>
      <c r="F133">
        <f t="shared" si="6"/>
        <v>2304.19</v>
      </c>
      <c r="G133">
        <v>62928092</v>
      </c>
      <c r="H133">
        <v>5.8099999999999999E-2</v>
      </c>
      <c r="I133">
        <v>0.36</v>
      </c>
      <c r="J133">
        <v>1.26</v>
      </c>
      <c r="K133" t="b">
        <f t="shared" si="7"/>
        <v>1</v>
      </c>
      <c r="L133" t="b">
        <f t="shared" si="8"/>
        <v>1</v>
      </c>
    </row>
    <row r="134" spans="1:12" x14ac:dyDescent="0.3">
      <c r="A134" t="s">
        <v>147</v>
      </c>
      <c r="B134" t="s">
        <v>13</v>
      </c>
      <c r="C134">
        <v>45754057</v>
      </c>
      <c r="D134">
        <v>46745</v>
      </c>
      <c r="E134">
        <v>1302</v>
      </c>
      <c r="F134">
        <f t="shared" si="6"/>
        <v>978.8</v>
      </c>
      <c r="G134">
        <v>97025132</v>
      </c>
      <c r="H134">
        <v>8.7300000000000003E-2</v>
      </c>
      <c r="I134">
        <v>0.31</v>
      </c>
      <c r="J134">
        <v>2.12</v>
      </c>
      <c r="K134" t="b">
        <f t="shared" si="7"/>
        <v>1</v>
      </c>
      <c r="L134" t="b">
        <f t="shared" si="8"/>
        <v>1</v>
      </c>
    </row>
    <row r="135" spans="1:12" x14ac:dyDescent="0.3">
      <c r="A135" t="s">
        <v>148</v>
      </c>
      <c r="B135" t="s">
        <v>13</v>
      </c>
      <c r="C135">
        <v>42850469</v>
      </c>
      <c r="D135">
        <v>13994</v>
      </c>
      <c r="E135">
        <v>882</v>
      </c>
      <c r="F135">
        <f t="shared" si="6"/>
        <v>3062.06</v>
      </c>
      <c r="G135">
        <v>10292790</v>
      </c>
      <c r="H135">
        <v>0.16020000000000001</v>
      </c>
      <c r="I135">
        <v>0.54</v>
      </c>
      <c r="J135">
        <v>0.24</v>
      </c>
      <c r="K135" t="b">
        <f t="shared" si="7"/>
        <v>1</v>
      </c>
      <c r="L135" t="b">
        <f t="shared" si="8"/>
        <v>1</v>
      </c>
    </row>
    <row r="136" spans="1:12" x14ac:dyDescent="0.3">
      <c r="A136" t="s">
        <v>149</v>
      </c>
      <c r="B136" t="s">
        <v>13</v>
      </c>
      <c r="C136">
        <v>46707866</v>
      </c>
      <c r="D136">
        <v>38690</v>
      </c>
      <c r="E136">
        <v>1332</v>
      </c>
      <c r="F136">
        <f t="shared" si="6"/>
        <v>1207.23</v>
      </c>
      <c r="G136">
        <v>38850579</v>
      </c>
      <c r="H136">
        <v>0.13950000000000001</v>
      </c>
      <c r="I136">
        <v>0.28000000000000003</v>
      </c>
      <c r="J136">
        <v>0.83</v>
      </c>
      <c r="K136" t="b">
        <f t="shared" si="7"/>
        <v>1</v>
      </c>
      <c r="L136" t="b">
        <f t="shared" si="8"/>
        <v>1</v>
      </c>
    </row>
    <row r="137" spans="1:12" x14ac:dyDescent="0.3">
      <c r="A137" t="s">
        <v>150</v>
      </c>
      <c r="B137" t="s">
        <v>17</v>
      </c>
      <c r="C137">
        <v>39814195</v>
      </c>
      <c r="D137">
        <v>45801</v>
      </c>
      <c r="E137">
        <v>2148</v>
      </c>
      <c r="F137">
        <f t="shared" si="6"/>
        <v>869.29</v>
      </c>
      <c r="G137">
        <v>97430736</v>
      </c>
      <c r="H137">
        <v>7.1999999999999995E-2</v>
      </c>
      <c r="I137">
        <v>0.42</v>
      </c>
      <c r="J137">
        <v>2.4500000000000002</v>
      </c>
      <c r="K137" t="b">
        <f t="shared" si="7"/>
        <v>1</v>
      </c>
      <c r="L137" t="b">
        <f t="shared" si="8"/>
        <v>1</v>
      </c>
    </row>
    <row r="138" spans="1:12" x14ac:dyDescent="0.3">
      <c r="A138" t="s">
        <v>151</v>
      </c>
      <c r="B138" t="s">
        <v>19</v>
      </c>
      <c r="C138">
        <v>25922396</v>
      </c>
      <c r="D138">
        <v>32839</v>
      </c>
      <c r="E138">
        <v>311</v>
      </c>
      <c r="F138">
        <f t="shared" si="6"/>
        <v>789.38</v>
      </c>
      <c r="G138">
        <v>67822294</v>
      </c>
      <c r="H138">
        <v>6.5600000000000006E-2</v>
      </c>
      <c r="I138">
        <v>0.44</v>
      </c>
      <c r="J138">
        <v>2.62</v>
      </c>
      <c r="K138" t="b">
        <f t="shared" si="7"/>
        <v>1</v>
      </c>
      <c r="L138" t="b">
        <f t="shared" si="8"/>
        <v>1</v>
      </c>
    </row>
    <row r="139" spans="1:12" x14ac:dyDescent="0.3">
      <c r="A139" t="s">
        <v>152</v>
      </c>
      <c r="B139" t="s">
        <v>19</v>
      </c>
      <c r="C139">
        <v>34673429</v>
      </c>
      <c r="D139">
        <v>35645</v>
      </c>
      <c r="E139">
        <v>2403</v>
      </c>
      <c r="F139">
        <f t="shared" si="6"/>
        <v>972.74</v>
      </c>
      <c r="G139">
        <v>72027002</v>
      </c>
      <c r="H139">
        <v>0.12609999999999999</v>
      </c>
      <c r="I139">
        <v>0.26</v>
      </c>
      <c r="J139">
        <v>2.08</v>
      </c>
      <c r="K139" t="b">
        <f t="shared" si="7"/>
        <v>1</v>
      </c>
      <c r="L139" t="b">
        <f t="shared" si="8"/>
        <v>1</v>
      </c>
    </row>
    <row r="140" spans="1:12" x14ac:dyDescent="0.3">
      <c r="A140" t="s">
        <v>153</v>
      </c>
      <c r="B140" t="s">
        <v>13</v>
      </c>
      <c r="C140">
        <v>45470036</v>
      </c>
      <c r="D140">
        <v>37827</v>
      </c>
      <c r="E140">
        <v>165</v>
      </c>
      <c r="F140">
        <f t="shared" si="6"/>
        <v>1202.05</v>
      </c>
      <c r="G140">
        <v>26625385</v>
      </c>
      <c r="H140">
        <v>0.15939999999999999</v>
      </c>
      <c r="I140">
        <v>0.5</v>
      </c>
      <c r="J140">
        <v>0.59</v>
      </c>
      <c r="K140" t="b">
        <f t="shared" si="7"/>
        <v>1</v>
      </c>
      <c r="L140" t="b">
        <f t="shared" si="8"/>
        <v>1</v>
      </c>
    </row>
    <row r="141" spans="1:12" x14ac:dyDescent="0.3">
      <c r="A141" t="s">
        <v>154</v>
      </c>
      <c r="B141" t="s">
        <v>11</v>
      </c>
      <c r="C141">
        <v>20878914</v>
      </c>
      <c r="D141">
        <v>41549</v>
      </c>
      <c r="E141">
        <v>2728</v>
      </c>
      <c r="F141">
        <f t="shared" si="6"/>
        <v>502.51</v>
      </c>
      <c r="G141">
        <v>23715974</v>
      </c>
      <c r="H141">
        <v>8.5300000000000001E-2</v>
      </c>
      <c r="I141">
        <v>0.72</v>
      </c>
      <c r="J141">
        <v>1.1399999999999999</v>
      </c>
      <c r="K141" t="b">
        <f t="shared" si="7"/>
        <v>1</v>
      </c>
      <c r="L141" t="b">
        <f t="shared" si="8"/>
        <v>1</v>
      </c>
    </row>
    <row r="142" spans="1:12" x14ac:dyDescent="0.3">
      <c r="A142" t="s">
        <v>155</v>
      </c>
      <c r="B142" t="s">
        <v>13</v>
      </c>
      <c r="C142">
        <v>26367222</v>
      </c>
      <c r="D142">
        <v>39166</v>
      </c>
      <c r="E142">
        <v>2797</v>
      </c>
      <c r="F142">
        <f t="shared" si="6"/>
        <v>673.22</v>
      </c>
      <c r="G142">
        <v>96849614</v>
      </c>
      <c r="H142">
        <v>7.0999999999999994E-2</v>
      </c>
      <c r="I142">
        <v>0.45</v>
      </c>
      <c r="J142">
        <v>3.67</v>
      </c>
      <c r="K142" t="b">
        <f t="shared" si="7"/>
        <v>1</v>
      </c>
      <c r="L142" t="b">
        <f t="shared" si="8"/>
        <v>1</v>
      </c>
    </row>
    <row r="143" spans="1:12" x14ac:dyDescent="0.3">
      <c r="A143" t="s">
        <v>156</v>
      </c>
      <c r="B143" t="s">
        <v>15</v>
      </c>
      <c r="C143">
        <v>19675431</v>
      </c>
      <c r="D143">
        <v>19305</v>
      </c>
      <c r="E143">
        <v>2041</v>
      </c>
      <c r="F143">
        <f t="shared" si="6"/>
        <v>1019.19</v>
      </c>
      <c r="G143">
        <v>76155250</v>
      </c>
      <c r="H143">
        <v>0.19889999999999999</v>
      </c>
      <c r="I143">
        <v>0.46</v>
      </c>
      <c r="J143">
        <v>3.87</v>
      </c>
      <c r="K143" t="b">
        <f t="shared" si="7"/>
        <v>1</v>
      </c>
      <c r="L143" t="b">
        <f t="shared" si="8"/>
        <v>1</v>
      </c>
    </row>
    <row r="144" spans="1:12" x14ac:dyDescent="0.3">
      <c r="A144" t="s">
        <v>157</v>
      </c>
      <c r="B144" t="s">
        <v>15</v>
      </c>
      <c r="C144">
        <v>29103014</v>
      </c>
      <c r="D144">
        <v>8601</v>
      </c>
      <c r="E144">
        <v>1511</v>
      </c>
      <c r="F144">
        <f t="shared" si="6"/>
        <v>3383.68</v>
      </c>
      <c r="G144">
        <v>84809678</v>
      </c>
      <c r="H144">
        <v>0.16400000000000001</v>
      </c>
      <c r="I144">
        <v>0.31</v>
      </c>
      <c r="J144">
        <v>2.91</v>
      </c>
      <c r="K144" t="b">
        <f t="shared" si="7"/>
        <v>1</v>
      </c>
      <c r="L144" t="b">
        <f t="shared" si="8"/>
        <v>1</v>
      </c>
    </row>
    <row r="145" spans="1:12" x14ac:dyDescent="0.3">
      <c r="A145" t="s">
        <v>158</v>
      </c>
      <c r="B145" t="s">
        <v>13</v>
      </c>
      <c r="C145">
        <v>13524804</v>
      </c>
      <c r="D145">
        <v>9787</v>
      </c>
      <c r="E145">
        <v>350</v>
      </c>
      <c r="F145">
        <f t="shared" si="6"/>
        <v>1381.92</v>
      </c>
      <c r="G145">
        <v>12419306</v>
      </c>
      <c r="H145">
        <v>8.8599999999999998E-2</v>
      </c>
      <c r="I145">
        <v>0.73</v>
      </c>
      <c r="J145">
        <v>0.92</v>
      </c>
      <c r="K145" t="b">
        <f t="shared" si="7"/>
        <v>1</v>
      </c>
      <c r="L145" t="b">
        <f t="shared" si="8"/>
        <v>1</v>
      </c>
    </row>
    <row r="146" spans="1:12" x14ac:dyDescent="0.3">
      <c r="A146" t="s">
        <v>159</v>
      </c>
      <c r="B146" t="s">
        <v>11</v>
      </c>
      <c r="C146">
        <v>6059590</v>
      </c>
      <c r="D146">
        <v>29236</v>
      </c>
      <c r="E146">
        <v>689</v>
      </c>
      <c r="F146">
        <f t="shared" si="6"/>
        <v>207.26</v>
      </c>
      <c r="G146">
        <v>71998537</v>
      </c>
      <c r="H146">
        <v>9.2200000000000004E-2</v>
      </c>
      <c r="I146">
        <v>0.62</v>
      </c>
      <c r="J146">
        <v>11.88</v>
      </c>
      <c r="K146" t="b">
        <f t="shared" si="7"/>
        <v>1</v>
      </c>
      <c r="L146" t="b">
        <f t="shared" si="8"/>
        <v>1</v>
      </c>
    </row>
    <row r="147" spans="1:12" x14ac:dyDescent="0.3">
      <c r="A147" t="s">
        <v>160</v>
      </c>
      <c r="B147" t="s">
        <v>17</v>
      </c>
      <c r="C147">
        <v>24209009</v>
      </c>
      <c r="D147">
        <v>44678</v>
      </c>
      <c r="E147">
        <v>2442</v>
      </c>
      <c r="F147">
        <f t="shared" si="6"/>
        <v>541.86</v>
      </c>
      <c r="G147">
        <v>52392030</v>
      </c>
      <c r="H147">
        <v>0.13020000000000001</v>
      </c>
      <c r="I147">
        <v>0.26</v>
      </c>
      <c r="J147">
        <v>2.16</v>
      </c>
      <c r="K147" t="b">
        <f t="shared" si="7"/>
        <v>1</v>
      </c>
      <c r="L147" t="b">
        <f t="shared" si="8"/>
        <v>1</v>
      </c>
    </row>
    <row r="148" spans="1:12" x14ac:dyDescent="0.3">
      <c r="A148" t="s">
        <v>161</v>
      </c>
      <c r="B148" t="s">
        <v>13</v>
      </c>
      <c r="C148">
        <v>46824443</v>
      </c>
      <c r="D148">
        <v>33629</v>
      </c>
      <c r="E148">
        <v>2068</v>
      </c>
      <c r="F148">
        <f t="shared" si="6"/>
        <v>1392.38</v>
      </c>
      <c r="G148">
        <v>50416947</v>
      </c>
      <c r="H148">
        <v>4.6600000000000003E-2</v>
      </c>
      <c r="I148">
        <v>0.69</v>
      </c>
      <c r="J148">
        <v>1.08</v>
      </c>
      <c r="K148" t="b">
        <f t="shared" si="7"/>
        <v>1</v>
      </c>
      <c r="L148" t="b">
        <f t="shared" si="8"/>
        <v>1</v>
      </c>
    </row>
    <row r="149" spans="1:12" x14ac:dyDescent="0.3">
      <c r="A149" t="s">
        <v>162</v>
      </c>
      <c r="B149" t="s">
        <v>13</v>
      </c>
      <c r="C149">
        <v>13420013</v>
      </c>
      <c r="D149">
        <v>46980</v>
      </c>
      <c r="E149">
        <v>2102</v>
      </c>
      <c r="F149">
        <f t="shared" si="6"/>
        <v>285.64999999999998</v>
      </c>
      <c r="G149">
        <v>22295440</v>
      </c>
      <c r="H149">
        <v>9.4E-2</v>
      </c>
      <c r="I149">
        <v>0.22</v>
      </c>
      <c r="J149">
        <v>1.66</v>
      </c>
      <c r="K149" t="b">
        <f t="shared" si="7"/>
        <v>1</v>
      </c>
      <c r="L149" t="b">
        <f t="shared" si="8"/>
        <v>1</v>
      </c>
    </row>
    <row r="150" spans="1:12" x14ac:dyDescent="0.3">
      <c r="A150" t="s">
        <v>163</v>
      </c>
      <c r="B150" t="s">
        <v>19</v>
      </c>
      <c r="C150">
        <v>11921655</v>
      </c>
      <c r="D150">
        <v>33441</v>
      </c>
      <c r="E150">
        <v>2144</v>
      </c>
      <c r="F150">
        <f t="shared" si="6"/>
        <v>356.5</v>
      </c>
      <c r="G150">
        <v>51220939</v>
      </c>
      <c r="H150">
        <v>0.10970000000000001</v>
      </c>
      <c r="I150">
        <v>0.21</v>
      </c>
      <c r="J150">
        <v>4.3</v>
      </c>
      <c r="K150" t="b">
        <f t="shared" si="7"/>
        <v>1</v>
      </c>
      <c r="L150" t="b">
        <f t="shared" si="8"/>
        <v>1</v>
      </c>
    </row>
    <row r="151" spans="1:12" x14ac:dyDescent="0.3">
      <c r="A151" t="s">
        <v>164</v>
      </c>
      <c r="B151" t="s">
        <v>19</v>
      </c>
      <c r="C151">
        <v>31011651</v>
      </c>
      <c r="D151">
        <v>21888</v>
      </c>
      <c r="E151">
        <v>1350</v>
      </c>
      <c r="F151">
        <f t="shared" si="6"/>
        <v>1416.83</v>
      </c>
      <c r="G151">
        <v>40043699</v>
      </c>
      <c r="H151">
        <v>0.13569999999999999</v>
      </c>
      <c r="I151">
        <v>0.53</v>
      </c>
      <c r="J151">
        <v>1.29</v>
      </c>
      <c r="K151" t="b">
        <f t="shared" si="7"/>
        <v>1</v>
      </c>
      <c r="L151" t="b">
        <f t="shared" si="8"/>
        <v>1</v>
      </c>
    </row>
    <row r="152" spans="1:12" x14ac:dyDescent="0.3">
      <c r="A152" t="s">
        <v>165</v>
      </c>
      <c r="B152" t="s">
        <v>11</v>
      </c>
      <c r="C152">
        <v>41365164</v>
      </c>
      <c r="D152">
        <v>8436</v>
      </c>
      <c r="E152">
        <v>207</v>
      </c>
      <c r="F152">
        <f t="shared" si="6"/>
        <v>4903.41</v>
      </c>
      <c r="G152">
        <v>21797384</v>
      </c>
      <c r="H152">
        <v>0.17929999999999999</v>
      </c>
      <c r="I152">
        <v>0.7</v>
      </c>
      <c r="J152">
        <v>0.53</v>
      </c>
      <c r="K152" t="b">
        <f t="shared" si="7"/>
        <v>1</v>
      </c>
      <c r="L152" t="b">
        <f t="shared" si="8"/>
        <v>1</v>
      </c>
    </row>
    <row r="153" spans="1:12" x14ac:dyDescent="0.3">
      <c r="A153" t="s">
        <v>166</v>
      </c>
      <c r="B153" t="s">
        <v>15</v>
      </c>
      <c r="C153">
        <v>14542349</v>
      </c>
      <c r="D153">
        <v>46643</v>
      </c>
      <c r="E153">
        <v>268</v>
      </c>
      <c r="F153">
        <f t="shared" si="6"/>
        <v>311.77999999999997</v>
      </c>
      <c r="G153">
        <v>79956405</v>
      </c>
      <c r="H153">
        <v>4.2299999999999997E-2</v>
      </c>
      <c r="I153">
        <v>0.41</v>
      </c>
      <c r="J153">
        <v>5.5</v>
      </c>
      <c r="K153" t="b">
        <f t="shared" si="7"/>
        <v>1</v>
      </c>
      <c r="L153" t="b">
        <f t="shared" si="8"/>
        <v>1</v>
      </c>
    </row>
    <row r="154" spans="1:12" x14ac:dyDescent="0.3">
      <c r="A154" t="s">
        <v>167</v>
      </c>
      <c r="B154" t="s">
        <v>19</v>
      </c>
      <c r="C154">
        <v>24341058</v>
      </c>
      <c r="D154">
        <v>21187</v>
      </c>
      <c r="E154">
        <v>660</v>
      </c>
      <c r="F154">
        <f t="shared" si="6"/>
        <v>1148.8699999999999</v>
      </c>
      <c r="G154">
        <v>16531325</v>
      </c>
      <c r="H154">
        <v>7.6799999999999993E-2</v>
      </c>
      <c r="I154">
        <v>0.51</v>
      </c>
      <c r="J154">
        <v>0.68</v>
      </c>
      <c r="K154" t="b">
        <f t="shared" si="7"/>
        <v>1</v>
      </c>
      <c r="L154" t="b">
        <f t="shared" si="8"/>
        <v>1</v>
      </c>
    </row>
    <row r="155" spans="1:12" x14ac:dyDescent="0.3">
      <c r="A155" t="s">
        <v>168</v>
      </c>
      <c r="B155" t="s">
        <v>17</v>
      </c>
      <c r="C155">
        <v>6766812</v>
      </c>
      <c r="D155">
        <v>19649</v>
      </c>
      <c r="E155">
        <v>2626</v>
      </c>
      <c r="F155">
        <f t="shared" si="6"/>
        <v>344.38</v>
      </c>
      <c r="G155">
        <v>14448350</v>
      </c>
      <c r="H155">
        <v>0.15040000000000001</v>
      </c>
      <c r="I155">
        <v>0.41</v>
      </c>
      <c r="J155">
        <v>2.14</v>
      </c>
      <c r="K155" t="b">
        <f t="shared" si="7"/>
        <v>1</v>
      </c>
      <c r="L155" t="b">
        <f t="shared" si="8"/>
        <v>1</v>
      </c>
    </row>
    <row r="156" spans="1:12" x14ac:dyDescent="0.3">
      <c r="A156" t="s">
        <v>169</v>
      </c>
      <c r="B156" t="s">
        <v>17</v>
      </c>
      <c r="C156">
        <v>47102251</v>
      </c>
      <c r="D156">
        <v>16352</v>
      </c>
      <c r="E156">
        <v>1725</v>
      </c>
      <c r="F156">
        <f t="shared" si="6"/>
        <v>2880.52</v>
      </c>
      <c r="G156">
        <v>78786048</v>
      </c>
      <c r="H156">
        <v>7.2800000000000004E-2</v>
      </c>
      <c r="I156">
        <v>0.65</v>
      </c>
      <c r="J156">
        <v>1.67</v>
      </c>
      <c r="K156" t="b">
        <f t="shared" si="7"/>
        <v>1</v>
      </c>
      <c r="L156" t="b">
        <f t="shared" si="8"/>
        <v>1</v>
      </c>
    </row>
    <row r="157" spans="1:12" x14ac:dyDescent="0.3">
      <c r="A157" t="s">
        <v>170</v>
      </c>
      <c r="B157" t="s">
        <v>11</v>
      </c>
      <c r="C157">
        <v>36062350</v>
      </c>
      <c r="D157">
        <v>29759</v>
      </c>
      <c r="E157">
        <v>1867</v>
      </c>
      <c r="F157">
        <f t="shared" si="6"/>
        <v>1211.81</v>
      </c>
      <c r="G157">
        <v>22906789</v>
      </c>
      <c r="H157">
        <v>0.1265</v>
      </c>
      <c r="I157">
        <v>0.39</v>
      </c>
      <c r="J157">
        <v>0.64</v>
      </c>
      <c r="K157" t="b">
        <f t="shared" si="7"/>
        <v>1</v>
      </c>
      <c r="L157" t="b">
        <f t="shared" si="8"/>
        <v>1</v>
      </c>
    </row>
    <row r="158" spans="1:12" x14ac:dyDescent="0.3">
      <c r="A158" t="s">
        <v>171</v>
      </c>
      <c r="B158" t="s">
        <v>17</v>
      </c>
      <c r="C158">
        <v>11470046</v>
      </c>
      <c r="D158">
        <v>29684</v>
      </c>
      <c r="E158">
        <v>2143</v>
      </c>
      <c r="F158">
        <f t="shared" si="6"/>
        <v>386.4</v>
      </c>
      <c r="G158">
        <v>71546119</v>
      </c>
      <c r="H158">
        <v>7.5200000000000003E-2</v>
      </c>
      <c r="I158">
        <v>0.3</v>
      </c>
      <c r="J158">
        <v>6.24</v>
      </c>
      <c r="K158" t="b">
        <f t="shared" si="7"/>
        <v>1</v>
      </c>
      <c r="L158" t="b">
        <f t="shared" si="8"/>
        <v>1</v>
      </c>
    </row>
    <row r="159" spans="1:12" x14ac:dyDescent="0.3">
      <c r="A159" t="s">
        <v>172</v>
      </c>
      <c r="B159" t="s">
        <v>19</v>
      </c>
      <c r="C159">
        <v>45835539</v>
      </c>
      <c r="D159">
        <v>23922</v>
      </c>
      <c r="E159">
        <v>2453</v>
      </c>
      <c r="F159">
        <f t="shared" si="6"/>
        <v>1916.04</v>
      </c>
      <c r="G159">
        <v>99825865</v>
      </c>
      <c r="H159">
        <v>6.5100000000000005E-2</v>
      </c>
      <c r="I159">
        <v>0.67</v>
      </c>
      <c r="J159">
        <v>2.1800000000000002</v>
      </c>
      <c r="K159" t="b">
        <f t="shared" si="7"/>
        <v>1</v>
      </c>
      <c r="L159" t="b">
        <f t="shared" si="8"/>
        <v>1</v>
      </c>
    </row>
    <row r="160" spans="1:12" x14ac:dyDescent="0.3">
      <c r="A160" t="s">
        <v>173</v>
      </c>
      <c r="B160" t="s">
        <v>13</v>
      </c>
      <c r="C160">
        <v>5838321</v>
      </c>
      <c r="D160">
        <v>39864</v>
      </c>
      <c r="E160">
        <v>2904</v>
      </c>
      <c r="F160">
        <f t="shared" si="6"/>
        <v>146.46</v>
      </c>
      <c r="G160">
        <v>96242676</v>
      </c>
      <c r="H160">
        <v>0.1676</v>
      </c>
      <c r="I160">
        <v>0.47</v>
      </c>
      <c r="J160">
        <v>16.48</v>
      </c>
      <c r="K160" t="b">
        <f t="shared" si="7"/>
        <v>1</v>
      </c>
      <c r="L160" t="b">
        <f t="shared" si="8"/>
        <v>1</v>
      </c>
    </row>
    <row r="161" spans="1:12" x14ac:dyDescent="0.3">
      <c r="A161" t="s">
        <v>174</v>
      </c>
      <c r="B161" t="s">
        <v>13</v>
      </c>
      <c r="C161">
        <v>15174187</v>
      </c>
      <c r="D161">
        <v>12140</v>
      </c>
      <c r="E161">
        <v>2612</v>
      </c>
      <c r="F161">
        <f t="shared" si="6"/>
        <v>1249.93</v>
      </c>
      <c r="G161">
        <v>87063687</v>
      </c>
      <c r="H161">
        <v>8.3099999999999993E-2</v>
      </c>
      <c r="I161">
        <v>0.76</v>
      </c>
      <c r="J161">
        <v>5.74</v>
      </c>
      <c r="K161" t="b">
        <f t="shared" si="7"/>
        <v>1</v>
      </c>
      <c r="L161" t="b">
        <f t="shared" si="8"/>
        <v>1</v>
      </c>
    </row>
    <row r="162" spans="1:12" x14ac:dyDescent="0.3">
      <c r="A162" t="s">
        <v>175</v>
      </c>
      <c r="B162" t="s">
        <v>15</v>
      </c>
      <c r="C162">
        <v>13455117</v>
      </c>
      <c r="D162">
        <v>30802</v>
      </c>
      <c r="E162">
        <v>1039</v>
      </c>
      <c r="F162">
        <f t="shared" si="6"/>
        <v>436.83</v>
      </c>
      <c r="G162">
        <v>43342088</v>
      </c>
      <c r="H162">
        <v>9.7600000000000006E-2</v>
      </c>
      <c r="I162">
        <v>0.74</v>
      </c>
      <c r="J162">
        <v>3.22</v>
      </c>
      <c r="K162" t="b">
        <f t="shared" si="7"/>
        <v>1</v>
      </c>
      <c r="L162" t="b">
        <f t="shared" si="8"/>
        <v>1</v>
      </c>
    </row>
    <row r="163" spans="1:12" x14ac:dyDescent="0.3">
      <c r="A163" t="s">
        <v>176</v>
      </c>
      <c r="B163" t="s">
        <v>15</v>
      </c>
      <c r="C163">
        <v>7919018</v>
      </c>
      <c r="D163">
        <v>27767</v>
      </c>
      <c r="E163">
        <v>2335</v>
      </c>
      <c r="F163">
        <f t="shared" si="6"/>
        <v>285.2</v>
      </c>
      <c r="G163">
        <v>70154063</v>
      </c>
      <c r="H163">
        <v>7.4999999999999997E-2</v>
      </c>
      <c r="I163">
        <v>0.75</v>
      </c>
      <c r="J163">
        <v>8.86</v>
      </c>
      <c r="K163" t="b">
        <f t="shared" si="7"/>
        <v>1</v>
      </c>
      <c r="L163" t="b">
        <f t="shared" si="8"/>
        <v>1</v>
      </c>
    </row>
    <row r="164" spans="1:12" x14ac:dyDescent="0.3">
      <c r="A164" t="s">
        <v>177</v>
      </c>
      <c r="B164" t="s">
        <v>19</v>
      </c>
      <c r="C164">
        <v>35433247</v>
      </c>
      <c r="D164">
        <v>33477</v>
      </c>
      <c r="E164">
        <v>433</v>
      </c>
      <c r="F164">
        <f t="shared" si="6"/>
        <v>1058.44</v>
      </c>
      <c r="G164">
        <v>77084402</v>
      </c>
      <c r="H164">
        <v>0.10199999999999999</v>
      </c>
      <c r="I164">
        <v>0.77</v>
      </c>
      <c r="J164">
        <v>2.1800000000000002</v>
      </c>
      <c r="K164" t="b">
        <f t="shared" si="7"/>
        <v>1</v>
      </c>
      <c r="L164" t="b">
        <f t="shared" si="8"/>
        <v>1</v>
      </c>
    </row>
    <row r="165" spans="1:12" x14ac:dyDescent="0.3">
      <c r="A165" t="s">
        <v>178</v>
      </c>
      <c r="B165" t="s">
        <v>11</v>
      </c>
      <c r="C165">
        <v>8194643</v>
      </c>
      <c r="D165">
        <v>34445</v>
      </c>
      <c r="E165">
        <v>1595</v>
      </c>
      <c r="F165">
        <f t="shared" si="6"/>
        <v>237.91</v>
      </c>
      <c r="G165">
        <v>10563551</v>
      </c>
      <c r="H165">
        <v>1.0500000000000001E-2</v>
      </c>
      <c r="I165">
        <v>0.31</v>
      </c>
      <c r="J165">
        <v>1.29</v>
      </c>
      <c r="K165" t="b">
        <f t="shared" si="7"/>
        <v>1</v>
      </c>
      <c r="L165" t="b">
        <f t="shared" si="8"/>
        <v>1</v>
      </c>
    </row>
    <row r="166" spans="1:12" x14ac:dyDescent="0.3">
      <c r="A166" t="s">
        <v>179</v>
      </c>
      <c r="B166" t="s">
        <v>13</v>
      </c>
      <c r="C166">
        <v>44593516</v>
      </c>
      <c r="D166">
        <v>41394</v>
      </c>
      <c r="E166">
        <v>2855</v>
      </c>
      <c r="F166">
        <f t="shared" si="6"/>
        <v>1077.29</v>
      </c>
      <c r="G166">
        <v>17082198</v>
      </c>
      <c r="H166">
        <v>8.77E-2</v>
      </c>
      <c r="I166">
        <v>0.74</v>
      </c>
      <c r="J166">
        <v>0.38</v>
      </c>
      <c r="K166" t="b">
        <f t="shared" si="7"/>
        <v>1</v>
      </c>
      <c r="L166" t="b">
        <f t="shared" si="8"/>
        <v>1</v>
      </c>
    </row>
    <row r="167" spans="1:12" x14ac:dyDescent="0.3">
      <c r="A167" t="s">
        <v>180</v>
      </c>
      <c r="B167" t="s">
        <v>11</v>
      </c>
      <c r="C167">
        <v>20081058</v>
      </c>
      <c r="D167">
        <v>49793</v>
      </c>
      <c r="E167">
        <v>1114</v>
      </c>
      <c r="F167">
        <f t="shared" si="6"/>
        <v>403.29</v>
      </c>
      <c r="G167">
        <v>50477287</v>
      </c>
      <c r="H167">
        <v>5.3800000000000001E-2</v>
      </c>
      <c r="I167">
        <v>0.44</v>
      </c>
      <c r="J167">
        <v>2.5099999999999998</v>
      </c>
      <c r="K167" t="b">
        <f t="shared" si="7"/>
        <v>1</v>
      </c>
      <c r="L167" t="b">
        <f t="shared" si="8"/>
        <v>1</v>
      </c>
    </row>
    <row r="168" spans="1:12" x14ac:dyDescent="0.3">
      <c r="A168" t="s">
        <v>181</v>
      </c>
      <c r="B168" t="s">
        <v>19</v>
      </c>
      <c r="C168">
        <v>40528721</v>
      </c>
      <c r="D168">
        <v>36440</v>
      </c>
      <c r="E168">
        <v>1909</v>
      </c>
      <c r="F168">
        <f t="shared" si="6"/>
        <v>1112.2</v>
      </c>
      <c r="G168">
        <v>91923111</v>
      </c>
      <c r="H168">
        <v>0.17299999999999999</v>
      </c>
      <c r="I168">
        <v>0.67</v>
      </c>
      <c r="J168">
        <v>2.27</v>
      </c>
      <c r="K168" t="b">
        <f t="shared" si="7"/>
        <v>1</v>
      </c>
      <c r="L168" t="b">
        <f t="shared" si="8"/>
        <v>1</v>
      </c>
    </row>
    <row r="169" spans="1:12" x14ac:dyDescent="0.3">
      <c r="A169" t="s">
        <v>182</v>
      </c>
      <c r="B169" t="s">
        <v>15</v>
      </c>
      <c r="C169">
        <v>32196453</v>
      </c>
      <c r="D169">
        <v>49882</v>
      </c>
      <c r="E169">
        <v>2544</v>
      </c>
      <c r="F169">
        <f t="shared" si="6"/>
        <v>645.45000000000005</v>
      </c>
      <c r="G169">
        <v>50739781</v>
      </c>
      <c r="H169">
        <v>0.188</v>
      </c>
      <c r="I169">
        <v>0.31</v>
      </c>
      <c r="J169">
        <v>1.58</v>
      </c>
      <c r="K169" t="b">
        <f t="shared" si="7"/>
        <v>1</v>
      </c>
      <c r="L169" t="b">
        <f t="shared" si="8"/>
        <v>1</v>
      </c>
    </row>
    <row r="170" spans="1:12" x14ac:dyDescent="0.3">
      <c r="A170" t="s">
        <v>183</v>
      </c>
      <c r="B170" t="s">
        <v>15</v>
      </c>
      <c r="C170">
        <v>33450725</v>
      </c>
      <c r="D170">
        <v>16473</v>
      </c>
      <c r="E170">
        <v>971</v>
      </c>
      <c r="F170">
        <f t="shared" si="6"/>
        <v>2030.64</v>
      </c>
      <c r="G170">
        <v>68127298</v>
      </c>
      <c r="H170">
        <v>0.15479999999999999</v>
      </c>
      <c r="I170">
        <v>0.48</v>
      </c>
      <c r="J170">
        <v>2.04</v>
      </c>
      <c r="K170" t="b">
        <f t="shared" si="7"/>
        <v>1</v>
      </c>
      <c r="L170" t="b">
        <f t="shared" si="8"/>
        <v>1</v>
      </c>
    </row>
    <row r="171" spans="1:12" x14ac:dyDescent="0.3">
      <c r="A171" t="s">
        <v>184</v>
      </c>
      <c r="B171" t="s">
        <v>15</v>
      </c>
      <c r="C171">
        <v>5322026</v>
      </c>
      <c r="D171">
        <v>36329</v>
      </c>
      <c r="E171">
        <v>120</v>
      </c>
      <c r="F171">
        <f t="shared" si="6"/>
        <v>146.5</v>
      </c>
      <c r="G171">
        <v>53317912</v>
      </c>
      <c r="H171">
        <v>9.6000000000000002E-2</v>
      </c>
      <c r="I171">
        <v>0.7</v>
      </c>
      <c r="J171">
        <v>10.02</v>
      </c>
      <c r="K171" t="b">
        <f t="shared" si="7"/>
        <v>1</v>
      </c>
      <c r="L171" t="b">
        <f t="shared" si="8"/>
        <v>1</v>
      </c>
    </row>
    <row r="172" spans="1:12" x14ac:dyDescent="0.3">
      <c r="A172" t="s">
        <v>185</v>
      </c>
      <c r="B172" t="s">
        <v>11</v>
      </c>
      <c r="C172">
        <v>37898821</v>
      </c>
      <c r="D172">
        <v>40043</v>
      </c>
      <c r="E172">
        <v>917</v>
      </c>
      <c r="F172">
        <f t="shared" si="6"/>
        <v>946.45</v>
      </c>
      <c r="G172">
        <v>75582534</v>
      </c>
      <c r="H172">
        <v>0.1037</v>
      </c>
      <c r="I172">
        <v>0.69</v>
      </c>
      <c r="J172">
        <v>1.99</v>
      </c>
      <c r="K172" t="b">
        <f t="shared" si="7"/>
        <v>1</v>
      </c>
      <c r="L172" t="b">
        <f t="shared" si="8"/>
        <v>1</v>
      </c>
    </row>
    <row r="173" spans="1:12" x14ac:dyDescent="0.3">
      <c r="A173" t="s">
        <v>186</v>
      </c>
      <c r="B173" t="s">
        <v>15</v>
      </c>
      <c r="C173">
        <v>44022719</v>
      </c>
      <c r="D173">
        <v>40750</v>
      </c>
      <c r="E173">
        <v>2871</v>
      </c>
      <c r="F173">
        <f t="shared" si="6"/>
        <v>1080.31</v>
      </c>
      <c r="G173">
        <v>21477468</v>
      </c>
      <c r="H173">
        <v>0.1734</v>
      </c>
      <c r="I173">
        <v>0.41</v>
      </c>
      <c r="J173">
        <v>0.49</v>
      </c>
      <c r="K173" t="b">
        <f t="shared" si="7"/>
        <v>1</v>
      </c>
      <c r="L173" t="b">
        <f t="shared" si="8"/>
        <v>1</v>
      </c>
    </row>
    <row r="174" spans="1:12" x14ac:dyDescent="0.3">
      <c r="A174" t="s">
        <v>187</v>
      </c>
      <c r="B174" t="s">
        <v>17</v>
      </c>
      <c r="C174">
        <v>15054218</v>
      </c>
      <c r="D174">
        <v>8597</v>
      </c>
      <c r="E174">
        <v>1487</v>
      </c>
      <c r="F174">
        <f t="shared" si="6"/>
        <v>1751.1</v>
      </c>
      <c r="G174">
        <v>69906776</v>
      </c>
      <c r="H174">
        <v>4.7800000000000002E-2</v>
      </c>
      <c r="I174">
        <v>0.47</v>
      </c>
      <c r="J174">
        <v>4.6399999999999997</v>
      </c>
      <c r="K174" t="b">
        <f t="shared" si="7"/>
        <v>1</v>
      </c>
      <c r="L174" t="b">
        <f t="shared" si="8"/>
        <v>1</v>
      </c>
    </row>
    <row r="175" spans="1:12" x14ac:dyDescent="0.3">
      <c r="A175" t="s">
        <v>188</v>
      </c>
      <c r="B175" t="s">
        <v>13</v>
      </c>
      <c r="C175">
        <v>10831990</v>
      </c>
      <c r="D175">
        <v>42852</v>
      </c>
      <c r="E175">
        <v>1496</v>
      </c>
      <c r="F175">
        <f t="shared" si="6"/>
        <v>252.78</v>
      </c>
      <c r="G175">
        <v>21171273</v>
      </c>
      <c r="H175">
        <v>8.4099999999999994E-2</v>
      </c>
      <c r="I175">
        <v>0.67</v>
      </c>
      <c r="J175">
        <v>1.95</v>
      </c>
      <c r="K175" t="b">
        <f t="shared" si="7"/>
        <v>1</v>
      </c>
      <c r="L175" t="b">
        <f t="shared" si="8"/>
        <v>1</v>
      </c>
    </row>
    <row r="176" spans="1:12" x14ac:dyDescent="0.3">
      <c r="A176" t="s">
        <v>189</v>
      </c>
      <c r="B176" t="s">
        <v>19</v>
      </c>
      <c r="C176">
        <v>21923689</v>
      </c>
      <c r="D176">
        <v>39949</v>
      </c>
      <c r="E176">
        <v>2806</v>
      </c>
      <c r="F176">
        <f t="shared" si="6"/>
        <v>548.79</v>
      </c>
      <c r="G176">
        <v>59084529</v>
      </c>
      <c r="H176">
        <v>8.1199999999999994E-2</v>
      </c>
      <c r="I176">
        <v>0.31</v>
      </c>
      <c r="J176">
        <v>2.7</v>
      </c>
      <c r="K176" t="b">
        <f t="shared" si="7"/>
        <v>1</v>
      </c>
      <c r="L176" t="b">
        <f t="shared" si="8"/>
        <v>1</v>
      </c>
    </row>
    <row r="177" spans="1:12" x14ac:dyDescent="0.3">
      <c r="A177" t="s">
        <v>190</v>
      </c>
      <c r="B177" t="s">
        <v>17</v>
      </c>
      <c r="C177">
        <v>45352948</v>
      </c>
      <c r="D177">
        <v>22236</v>
      </c>
      <c r="E177">
        <v>1243</v>
      </c>
      <c r="F177">
        <f t="shared" si="6"/>
        <v>2039.62</v>
      </c>
      <c r="G177">
        <v>72326540</v>
      </c>
      <c r="H177">
        <v>5.3199999999999997E-2</v>
      </c>
      <c r="I177">
        <v>0.28999999999999998</v>
      </c>
      <c r="J177">
        <v>1.59</v>
      </c>
      <c r="K177" t="b">
        <f t="shared" si="7"/>
        <v>1</v>
      </c>
      <c r="L177" t="b">
        <f t="shared" si="8"/>
        <v>1</v>
      </c>
    </row>
    <row r="178" spans="1:12" x14ac:dyDescent="0.3">
      <c r="A178" t="s">
        <v>191</v>
      </c>
      <c r="B178" t="s">
        <v>15</v>
      </c>
      <c r="C178">
        <v>36957474</v>
      </c>
      <c r="D178">
        <v>25215</v>
      </c>
      <c r="E178">
        <v>1400</v>
      </c>
      <c r="F178">
        <f t="shared" si="6"/>
        <v>1465.69</v>
      </c>
      <c r="G178">
        <v>61868689</v>
      </c>
      <c r="H178">
        <v>3.1800000000000002E-2</v>
      </c>
      <c r="I178">
        <v>0.8</v>
      </c>
      <c r="J178">
        <v>1.67</v>
      </c>
      <c r="K178" t="b">
        <f t="shared" si="7"/>
        <v>1</v>
      </c>
      <c r="L178" t="b">
        <f t="shared" si="8"/>
        <v>1</v>
      </c>
    </row>
    <row r="179" spans="1:12" x14ac:dyDescent="0.3">
      <c r="A179" t="s">
        <v>192</v>
      </c>
      <c r="B179" t="s">
        <v>15</v>
      </c>
      <c r="C179">
        <v>33780068</v>
      </c>
      <c r="D179">
        <v>17586</v>
      </c>
      <c r="E179">
        <v>789</v>
      </c>
      <c r="F179">
        <f t="shared" si="6"/>
        <v>1920.85</v>
      </c>
      <c r="G179">
        <v>25939073</v>
      </c>
      <c r="H179">
        <v>0.1085</v>
      </c>
      <c r="I179">
        <v>0.28999999999999998</v>
      </c>
      <c r="J179">
        <v>0.77</v>
      </c>
      <c r="K179" t="b">
        <f t="shared" si="7"/>
        <v>1</v>
      </c>
      <c r="L179" t="b">
        <f t="shared" si="8"/>
        <v>1</v>
      </c>
    </row>
    <row r="180" spans="1:12" x14ac:dyDescent="0.3">
      <c r="A180" t="s">
        <v>193</v>
      </c>
      <c r="B180" t="s">
        <v>13</v>
      </c>
      <c r="C180">
        <v>32485653</v>
      </c>
      <c r="D180">
        <v>23290</v>
      </c>
      <c r="E180">
        <v>1701</v>
      </c>
      <c r="F180">
        <f t="shared" si="6"/>
        <v>1394.83</v>
      </c>
      <c r="G180">
        <v>98415183</v>
      </c>
      <c r="H180">
        <v>9.9000000000000005E-2</v>
      </c>
      <c r="I180">
        <v>0.56999999999999995</v>
      </c>
      <c r="J180">
        <v>3.03</v>
      </c>
      <c r="K180" t="b">
        <f t="shared" si="7"/>
        <v>1</v>
      </c>
      <c r="L180" t="b">
        <f t="shared" si="8"/>
        <v>1</v>
      </c>
    </row>
    <row r="181" spans="1:12" x14ac:dyDescent="0.3">
      <c r="A181" t="s">
        <v>194</v>
      </c>
      <c r="B181" t="s">
        <v>13</v>
      </c>
      <c r="C181">
        <v>14773828</v>
      </c>
      <c r="D181">
        <v>43250</v>
      </c>
      <c r="E181">
        <v>2894</v>
      </c>
      <c r="F181">
        <f t="shared" si="6"/>
        <v>341.59</v>
      </c>
      <c r="G181">
        <v>91689622</v>
      </c>
      <c r="H181">
        <v>0.15690000000000001</v>
      </c>
      <c r="I181">
        <v>0.57999999999999996</v>
      </c>
      <c r="J181">
        <v>6.21</v>
      </c>
      <c r="K181" t="b">
        <f t="shared" si="7"/>
        <v>1</v>
      </c>
      <c r="L181" t="b">
        <f t="shared" si="8"/>
        <v>1</v>
      </c>
    </row>
    <row r="182" spans="1:12" x14ac:dyDescent="0.3">
      <c r="A182" t="s">
        <v>195</v>
      </c>
      <c r="B182" t="s">
        <v>11</v>
      </c>
      <c r="C182">
        <v>24448170</v>
      </c>
      <c r="D182">
        <v>21862</v>
      </c>
      <c r="E182">
        <v>2259</v>
      </c>
      <c r="F182">
        <f t="shared" si="6"/>
        <v>1118.3</v>
      </c>
      <c r="G182">
        <v>52114937</v>
      </c>
      <c r="H182">
        <v>0.16919999999999999</v>
      </c>
      <c r="I182">
        <v>0.54</v>
      </c>
      <c r="J182">
        <v>2.13</v>
      </c>
      <c r="K182" t="b">
        <f t="shared" si="7"/>
        <v>1</v>
      </c>
      <c r="L182" t="b">
        <f t="shared" si="8"/>
        <v>1</v>
      </c>
    </row>
    <row r="183" spans="1:12" x14ac:dyDescent="0.3">
      <c r="A183" t="s">
        <v>196</v>
      </c>
      <c r="B183" t="s">
        <v>19</v>
      </c>
      <c r="C183">
        <v>16094605</v>
      </c>
      <c r="D183">
        <v>25428</v>
      </c>
      <c r="E183">
        <v>191</v>
      </c>
      <c r="F183">
        <f t="shared" si="6"/>
        <v>632.95000000000005</v>
      </c>
      <c r="G183">
        <v>47463810</v>
      </c>
      <c r="H183">
        <v>4.8800000000000003E-2</v>
      </c>
      <c r="I183">
        <v>0.79</v>
      </c>
      <c r="J183">
        <v>2.95</v>
      </c>
      <c r="K183" t="b">
        <f t="shared" si="7"/>
        <v>1</v>
      </c>
      <c r="L183" t="b">
        <f t="shared" si="8"/>
        <v>1</v>
      </c>
    </row>
    <row r="184" spans="1:12" x14ac:dyDescent="0.3">
      <c r="A184" t="s">
        <v>197</v>
      </c>
      <c r="B184" t="s">
        <v>13</v>
      </c>
      <c r="C184">
        <v>19850318</v>
      </c>
      <c r="D184">
        <v>31927</v>
      </c>
      <c r="E184">
        <v>2322</v>
      </c>
      <c r="F184">
        <f t="shared" si="6"/>
        <v>621.74</v>
      </c>
      <c r="G184">
        <v>62956381</v>
      </c>
      <c r="H184">
        <v>0.11749999999999999</v>
      </c>
      <c r="I184">
        <v>0.33</v>
      </c>
      <c r="J184">
        <v>3.17</v>
      </c>
      <c r="K184" t="b">
        <f t="shared" si="7"/>
        <v>1</v>
      </c>
      <c r="L184" t="b">
        <f t="shared" si="8"/>
        <v>1</v>
      </c>
    </row>
    <row r="185" spans="1:12" x14ac:dyDescent="0.3">
      <c r="A185" t="s">
        <v>198</v>
      </c>
      <c r="B185" t="s">
        <v>17</v>
      </c>
      <c r="C185">
        <v>7370165</v>
      </c>
      <c r="D185">
        <v>41076</v>
      </c>
      <c r="E185">
        <v>702</v>
      </c>
      <c r="F185">
        <f t="shared" si="6"/>
        <v>179.43</v>
      </c>
      <c r="G185">
        <v>38647445</v>
      </c>
      <c r="H185">
        <v>0.17810000000000001</v>
      </c>
      <c r="I185">
        <v>0.48</v>
      </c>
      <c r="J185">
        <v>5.24</v>
      </c>
      <c r="K185" t="b">
        <f t="shared" si="7"/>
        <v>1</v>
      </c>
      <c r="L185" t="b">
        <f t="shared" si="8"/>
        <v>1</v>
      </c>
    </row>
    <row r="186" spans="1:12" x14ac:dyDescent="0.3">
      <c r="A186" t="s">
        <v>199</v>
      </c>
      <c r="B186" t="s">
        <v>13</v>
      </c>
      <c r="C186">
        <v>25178032</v>
      </c>
      <c r="D186">
        <v>33803</v>
      </c>
      <c r="E186">
        <v>2647</v>
      </c>
      <c r="F186">
        <f t="shared" si="6"/>
        <v>744.85</v>
      </c>
      <c r="G186">
        <v>75046211</v>
      </c>
      <c r="H186">
        <v>2.4899999999999999E-2</v>
      </c>
      <c r="I186">
        <v>0.48</v>
      </c>
      <c r="J186">
        <v>2.98</v>
      </c>
      <c r="K186" t="b">
        <f t="shared" si="7"/>
        <v>1</v>
      </c>
      <c r="L186" t="b">
        <f t="shared" si="8"/>
        <v>1</v>
      </c>
    </row>
    <row r="187" spans="1:12" x14ac:dyDescent="0.3">
      <c r="A187" t="s">
        <v>200</v>
      </c>
      <c r="B187" t="s">
        <v>11</v>
      </c>
      <c r="C187">
        <v>45544494</v>
      </c>
      <c r="D187">
        <v>2627</v>
      </c>
      <c r="E187">
        <v>1283</v>
      </c>
      <c r="F187">
        <f t="shared" si="6"/>
        <v>17337.07</v>
      </c>
      <c r="G187">
        <v>22394539</v>
      </c>
      <c r="H187">
        <v>5.6599999999999998E-2</v>
      </c>
      <c r="I187">
        <v>0.77</v>
      </c>
      <c r="J187">
        <v>0.49</v>
      </c>
      <c r="K187" t="b">
        <f t="shared" si="7"/>
        <v>1</v>
      </c>
      <c r="L187" t="b">
        <f t="shared" si="8"/>
        <v>1</v>
      </c>
    </row>
    <row r="188" spans="1:12" x14ac:dyDescent="0.3">
      <c r="A188" t="s">
        <v>201</v>
      </c>
      <c r="B188" t="s">
        <v>17</v>
      </c>
      <c r="C188">
        <v>16170837</v>
      </c>
      <c r="D188">
        <v>43452</v>
      </c>
      <c r="E188">
        <v>123</v>
      </c>
      <c r="F188">
        <f t="shared" si="6"/>
        <v>372.15</v>
      </c>
      <c r="G188">
        <v>46089784</v>
      </c>
      <c r="H188">
        <v>7.2300000000000003E-2</v>
      </c>
      <c r="I188">
        <v>0.34</v>
      </c>
      <c r="J188">
        <v>2.85</v>
      </c>
      <c r="K188" t="b">
        <f t="shared" si="7"/>
        <v>1</v>
      </c>
      <c r="L188" t="b">
        <f t="shared" si="8"/>
        <v>1</v>
      </c>
    </row>
    <row r="189" spans="1:12" x14ac:dyDescent="0.3">
      <c r="A189" t="s">
        <v>202</v>
      </c>
      <c r="B189" t="s">
        <v>13</v>
      </c>
      <c r="C189">
        <v>13831782</v>
      </c>
      <c r="D189">
        <v>45563</v>
      </c>
      <c r="E189">
        <v>762</v>
      </c>
      <c r="F189">
        <f t="shared" ref="F189:F247" si="9">IF(D189 = 0,FALSE,ROUND(C189/D189,2))</f>
        <v>303.57</v>
      </c>
      <c r="G189">
        <v>69667629</v>
      </c>
      <c r="H189">
        <v>4.4400000000000002E-2</v>
      </c>
      <c r="I189">
        <v>0.51</v>
      </c>
      <c r="J189">
        <v>5.04</v>
      </c>
      <c r="K189" t="b">
        <f t="shared" ref="K189:K247" si="10" xml:space="preserve"> IF(E189&gt;D189,FALSE,TRUE)</f>
        <v>1</v>
      </c>
      <c r="L189" t="b">
        <f t="shared" si="8"/>
        <v>1</v>
      </c>
    </row>
    <row r="190" spans="1:12" x14ac:dyDescent="0.3">
      <c r="A190" t="s">
        <v>203</v>
      </c>
      <c r="B190" t="s">
        <v>11</v>
      </c>
      <c r="C190">
        <v>47940503</v>
      </c>
      <c r="D190">
        <v>9194</v>
      </c>
      <c r="E190">
        <v>2709</v>
      </c>
      <c r="F190">
        <f t="shared" si="9"/>
        <v>5214.32</v>
      </c>
      <c r="G190">
        <v>76603897</v>
      </c>
      <c r="H190">
        <v>0.16159999999999999</v>
      </c>
      <c r="I190">
        <v>0.34</v>
      </c>
      <c r="J190">
        <v>1.6</v>
      </c>
      <c r="K190" t="b">
        <f t="shared" si="10"/>
        <v>1</v>
      </c>
      <c r="L190" t="b">
        <f t="shared" si="8"/>
        <v>1</v>
      </c>
    </row>
    <row r="191" spans="1:12" x14ac:dyDescent="0.3">
      <c r="A191" t="s">
        <v>204</v>
      </c>
      <c r="B191" t="s">
        <v>17</v>
      </c>
      <c r="C191">
        <v>8548661</v>
      </c>
      <c r="D191">
        <v>42807</v>
      </c>
      <c r="E191">
        <v>1568</v>
      </c>
      <c r="F191">
        <f t="shared" si="9"/>
        <v>199.7</v>
      </c>
      <c r="G191">
        <v>56353129</v>
      </c>
      <c r="H191">
        <v>0.16569999999999999</v>
      </c>
      <c r="I191">
        <v>0.27</v>
      </c>
      <c r="J191">
        <v>6.59</v>
      </c>
      <c r="K191" t="b">
        <f t="shared" si="10"/>
        <v>1</v>
      </c>
      <c r="L191" t="b">
        <f t="shared" ref="L191:L250" si="11">IF(E191/D191*100&gt;50,FALSE,TRUE)</f>
        <v>1</v>
      </c>
    </row>
    <row r="192" spans="1:12" x14ac:dyDescent="0.3">
      <c r="A192" t="s">
        <v>205</v>
      </c>
      <c r="B192" t="s">
        <v>13</v>
      </c>
      <c r="C192">
        <v>35858138</v>
      </c>
      <c r="D192">
        <v>37752</v>
      </c>
      <c r="E192">
        <v>2400</v>
      </c>
      <c r="F192">
        <f t="shared" si="9"/>
        <v>949.83</v>
      </c>
      <c r="G192">
        <v>18422370</v>
      </c>
      <c r="H192">
        <v>4.8899999999999999E-2</v>
      </c>
      <c r="I192">
        <v>0.55000000000000004</v>
      </c>
      <c r="J192">
        <v>0.51</v>
      </c>
      <c r="K192" t="b">
        <f t="shared" si="10"/>
        <v>1</v>
      </c>
      <c r="L192" t="b">
        <f t="shared" si="11"/>
        <v>1</v>
      </c>
    </row>
    <row r="193" spans="1:12" x14ac:dyDescent="0.3">
      <c r="A193" t="s">
        <v>206</v>
      </c>
      <c r="B193" t="s">
        <v>11</v>
      </c>
      <c r="C193">
        <v>32492096</v>
      </c>
      <c r="D193">
        <v>5154</v>
      </c>
      <c r="E193">
        <v>1931</v>
      </c>
      <c r="F193">
        <f t="shared" si="9"/>
        <v>6304.25</v>
      </c>
      <c r="G193">
        <v>32553591</v>
      </c>
      <c r="H193">
        <v>6.7599999999999993E-2</v>
      </c>
      <c r="I193">
        <v>0.25</v>
      </c>
      <c r="J193">
        <v>1</v>
      </c>
      <c r="K193" t="b">
        <f t="shared" si="10"/>
        <v>1</v>
      </c>
      <c r="L193" t="b">
        <f t="shared" si="11"/>
        <v>1</v>
      </c>
    </row>
    <row r="194" spans="1:12" x14ac:dyDescent="0.3">
      <c r="A194" t="s">
        <v>207</v>
      </c>
      <c r="B194" t="s">
        <v>13</v>
      </c>
      <c r="C194">
        <v>20109913</v>
      </c>
      <c r="D194">
        <v>12443</v>
      </c>
      <c r="E194">
        <v>2707</v>
      </c>
      <c r="F194">
        <f t="shared" si="9"/>
        <v>1616.16</v>
      </c>
      <c r="G194">
        <v>27264959</v>
      </c>
      <c r="H194">
        <v>0.19109999999999999</v>
      </c>
      <c r="I194">
        <v>0.53</v>
      </c>
      <c r="J194">
        <v>1.36</v>
      </c>
      <c r="K194" t="b">
        <f t="shared" si="10"/>
        <v>1</v>
      </c>
      <c r="L194" t="b">
        <f t="shared" si="11"/>
        <v>1</v>
      </c>
    </row>
    <row r="195" spans="1:12" x14ac:dyDescent="0.3">
      <c r="A195" t="s">
        <v>208</v>
      </c>
      <c r="B195" t="s">
        <v>11</v>
      </c>
      <c r="C195">
        <v>31196991</v>
      </c>
      <c r="D195">
        <v>19369</v>
      </c>
      <c r="E195">
        <v>2287</v>
      </c>
      <c r="F195">
        <f t="shared" si="9"/>
        <v>1610.67</v>
      </c>
      <c r="G195">
        <v>16305028</v>
      </c>
      <c r="H195">
        <v>0.14000000000000001</v>
      </c>
      <c r="I195">
        <v>0.43</v>
      </c>
      <c r="J195">
        <v>0.52</v>
      </c>
      <c r="K195" t="b">
        <f t="shared" si="10"/>
        <v>1</v>
      </c>
      <c r="L195" t="b">
        <f t="shared" si="11"/>
        <v>1</v>
      </c>
    </row>
    <row r="196" spans="1:12" x14ac:dyDescent="0.3">
      <c r="A196" t="s">
        <v>209</v>
      </c>
      <c r="B196" t="s">
        <v>15</v>
      </c>
      <c r="C196">
        <v>42787263</v>
      </c>
      <c r="D196">
        <v>21392</v>
      </c>
      <c r="E196">
        <v>2553</v>
      </c>
      <c r="F196">
        <f t="shared" si="9"/>
        <v>2000.15</v>
      </c>
      <c r="G196">
        <v>30207478</v>
      </c>
      <c r="H196">
        <v>0.17549999999999999</v>
      </c>
      <c r="I196">
        <v>0.5</v>
      </c>
      <c r="J196">
        <v>0.71</v>
      </c>
      <c r="K196" t="b">
        <f t="shared" si="10"/>
        <v>1</v>
      </c>
      <c r="L196" t="b">
        <f t="shared" si="11"/>
        <v>1</v>
      </c>
    </row>
    <row r="197" spans="1:12" x14ac:dyDescent="0.3">
      <c r="A197" t="s">
        <v>210</v>
      </c>
      <c r="B197" t="s">
        <v>17</v>
      </c>
      <c r="C197">
        <v>28468489</v>
      </c>
      <c r="D197">
        <v>21409</v>
      </c>
      <c r="E197">
        <v>578</v>
      </c>
      <c r="F197">
        <f t="shared" si="9"/>
        <v>1329.74</v>
      </c>
      <c r="G197">
        <v>89817723</v>
      </c>
      <c r="H197">
        <v>0.1875</v>
      </c>
      <c r="I197">
        <v>0.27</v>
      </c>
      <c r="J197">
        <v>3.15</v>
      </c>
      <c r="K197" t="b">
        <f t="shared" si="10"/>
        <v>1</v>
      </c>
      <c r="L197" t="b">
        <f t="shared" si="11"/>
        <v>1</v>
      </c>
    </row>
    <row r="198" spans="1:12" x14ac:dyDescent="0.3">
      <c r="A198" t="s">
        <v>211</v>
      </c>
      <c r="B198" t="s">
        <v>17</v>
      </c>
      <c r="C198">
        <v>30927718</v>
      </c>
      <c r="D198">
        <v>23688</v>
      </c>
      <c r="E198">
        <v>1065</v>
      </c>
      <c r="F198">
        <f t="shared" si="9"/>
        <v>1305.6300000000001</v>
      </c>
      <c r="G198">
        <v>62000785</v>
      </c>
      <c r="H198">
        <v>0.1507</v>
      </c>
      <c r="I198">
        <v>0.71</v>
      </c>
      <c r="J198">
        <v>2</v>
      </c>
      <c r="K198" t="b">
        <f t="shared" si="10"/>
        <v>1</v>
      </c>
      <c r="L198" t="b">
        <f t="shared" si="11"/>
        <v>1</v>
      </c>
    </row>
    <row r="199" spans="1:12" x14ac:dyDescent="0.3">
      <c r="A199" t="s">
        <v>212</v>
      </c>
      <c r="B199" t="s">
        <v>13</v>
      </c>
      <c r="C199">
        <v>25541233</v>
      </c>
      <c r="D199">
        <v>46081</v>
      </c>
      <c r="E199">
        <v>133</v>
      </c>
      <c r="F199">
        <f t="shared" si="9"/>
        <v>554.27</v>
      </c>
      <c r="G199">
        <v>60866746</v>
      </c>
      <c r="H199">
        <v>2.9000000000000001E-2</v>
      </c>
      <c r="I199">
        <v>0.55000000000000004</v>
      </c>
      <c r="J199">
        <v>2.38</v>
      </c>
      <c r="K199" t="b">
        <f t="shared" si="10"/>
        <v>1</v>
      </c>
      <c r="L199" t="b">
        <f t="shared" si="11"/>
        <v>1</v>
      </c>
    </row>
    <row r="200" spans="1:12" x14ac:dyDescent="0.3">
      <c r="A200" t="s">
        <v>213</v>
      </c>
      <c r="B200" t="s">
        <v>15</v>
      </c>
      <c r="C200">
        <v>13618482</v>
      </c>
      <c r="D200">
        <v>36746</v>
      </c>
      <c r="E200">
        <v>462</v>
      </c>
      <c r="F200">
        <f t="shared" si="9"/>
        <v>370.61</v>
      </c>
      <c r="G200">
        <v>77538276</v>
      </c>
      <c r="H200">
        <v>2.87E-2</v>
      </c>
      <c r="I200">
        <v>0.34</v>
      </c>
      <c r="J200">
        <v>5.69</v>
      </c>
      <c r="K200" t="b">
        <f t="shared" si="10"/>
        <v>1</v>
      </c>
      <c r="L200" t="b">
        <f t="shared" si="11"/>
        <v>1</v>
      </c>
    </row>
    <row r="201" spans="1:12" x14ac:dyDescent="0.3">
      <c r="A201" t="s">
        <v>214</v>
      </c>
      <c r="B201" t="s">
        <v>17</v>
      </c>
      <c r="C201">
        <v>30210534</v>
      </c>
      <c r="D201">
        <v>42911</v>
      </c>
      <c r="E201">
        <v>2200</v>
      </c>
      <c r="F201">
        <f t="shared" si="9"/>
        <v>704.03</v>
      </c>
      <c r="G201">
        <v>35305977</v>
      </c>
      <c r="H201">
        <v>0.15670000000000001</v>
      </c>
      <c r="I201">
        <v>0.32</v>
      </c>
      <c r="J201">
        <v>1.17</v>
      </c>
      <c r="K201" t="b">
        <f t="shared" si="10"/>
        <v>1</v>
      </c>
      <c r="L201" t="b">
        <f t="shared" si="11"/>
        <v>1</v>
      </c>
    </row>
    <row r="202" spans="1:12" x14ac:dyDescent="0.3">
      <c r="A202" t="s">
        <v>215</v>
      </c>
      <c r="B202" t="s">
        <v>13</v>
      </c>
      <c r="C202">
        <v>10245812</v>
      </c>
      <c r="D202">
        <v>34710</v>
      </c>
      <c r="E202">
        <v>2538</v>
      </c>
      <c r="F202">
        <f t="shared" si="9"/>
        <v>295.18</v>
      </c>
      <c r="G202">
        <v>42009092</v>
      </c>
      <c r="H202">
        <v>0.18770000000000001</v>
      </c>
      <c r="I202">
        <v>0.67</v>
      </c>
      <c r="J202">
        <v>4.0999999999999996</v>
      </c>
      <c r="K202" t="b">
        <f t="shared" si="10"/>
        <v>1</v>
      </c>
      <c r="L202" t="b">
        <f t="shared" si="11"/>
        <v>1</v>
      </c>
    </row>
    <row r="203" spans="1:12" x14ac:dyDescent="0.3">
      <c r="A203" t="s">
        <v>216</v>
      </c>
      <c r="B203" t="s">
        <v>19</v>
      </c>
      <c r="C203">
        <v>36564855</v>
      </c>
      <c r="D203">
        <v>8043</v>
      </c>
      <c r="E203">
        <v>2208</v>
      </c>
      <c r="F203">
        <f t="shared" si="9"/>
        <v>4546.17</v>
      </c>
      <c r="G203">
        <v>27626753</v>
      </c>
      <c r="H203">
        <v>0.18709999999999999</v>
      </c>
      <c r="I203">
        <v>0.63</v>
      </c>
      <c r="J203">
        <v>0.76</v>
      </c>
      <c r="K203" t="b">
        <f t="shared" si="10"/>
        <v>1</v>
      </c>
      <c r="L203" t="b">
        <f t="shared" si="11"/>
        <v>1</v>
      </c>
    </row>
    <row r="204" spans="1:12" x14ac:dyDescent="0.3">
      <c r="A204" t="s">
        <v>217</v>
      </c>
      <c r="B204" t="s">
        <v>17</v>
      </c>
      <c r="C204">
        <v>9223798</v>
      </c>
      <c r="D204">
        <v>15225</v>
      </c>
      <c r="E204">
        <v>942</v>
      </c>
      <c r="F204">
        <f t="shared" si="9"/>
        <v>605.83000000000004</v>
      </c>
      <c r="G204">
        <v>95264533</v>
      </c>
      <c r="H204">
        <v>0.17530000000000001</v>
      </c>
      <c r="I204">
        <v>0.25</v>
      </c>
      <c r="J204">
        <v>10.33</v>
      </c>
      <c r="K204" t="b">
        <f t="shared" si="10"/>
        <v>1</v>
      </c>
      <c r="L204" t="b">
        <f t="shared" si="11"/>
        <v>1</v>
      </c>
    </row>
    <row r="205" spans="1:12" x14ac:dyDescent="0.3">
      <c r="A205" t="s">
        <v>218</v>
      </c>
      <c r="B205" t="s">
        <v>17</v>
      </c>
      <c r="C205">
        <v>24735196</v>
      </c>
      <c r="D205">
        <v>18877</v>
      </c>
      <c r="E205">
        <v>1330</v>
      </c>
      <c r="F205">
        <f t="shared" si="9"/>
        <v>1310.3399999999999</v>
      </c>
      <c r="G205">
        <v>13765698</v>
      </c>
      <c r="H205">
        <v>0.13300000000000001</v>
      </c>
      <c r="I205">
        <v>0.37</v>
      </c>
      <c r="J205">
        <v>0.56000000000000005</v>
      </c>
      <c r="K205" t="b">
        <f t="shared" si="10"/>
        <v>1</v>
      </c>
      <c r="L205" t="b">
        <f t="shared" si="11"/>
        <v>1</v>
      </c>
    </row>
    <row r="206" spans="1:12" x14ac:dyDescent="0.3">
      <c r="A206" t="s">
        <v>219</v>
      </c>
      <c r="B206" t="s">
        <v>11</v>
      </c>
      <c r="C206">
        <v>8175849</v>
      </c>
      <c r="D206">
        <v>24656</v>
      </c>
      <c r="E206">
        <v>964</v>
      </c>
      <c r="F206">
        <f t="shared" si="9"/>
        <v>331.6</v>
      </c>
      <c r="G206">
        <v>13622053</v>
      </c>
      <c r="H206">
        <v>0.16250000000000001</v>
      </c>
      <c r="I206">
        <v>0.4</v>
      </c>
      <c r="J206">
        <v>1.67</v>
      </c>
      <c r="K206" t="b">
        <f t="shared" si="10"/>
        <v>1</v>
      </c>
      <c r="L206" t="b">
        <f t="shared" si="11"/>
        <v>1</v>
      </c>
    </row>
    <row r="207" spans="1:12" x14ac:dyDescent="0.3">
      <c r="A207" t="s">
        <v>220</v>
      </c>
      <c r="B207" t="s">
        <v>17</v>
      </c>
      <c r="C207">
        <v>27013968</v>
      </c>
      <c r="D207">
        <v>22089</v>
      </c>
      <c r="E207">
        <v>387</v>
      </c>
      <c r="F207">
        <f t="shared" si="9"/>
        <v>1222.96</v>
      </c>
      <c r="G207">
        <v>34705875</v>
      </c>
      <c r="H207">
        <v>9.8100000000000007E-2</v>
      </c>
      <c r="I207">
        <v>0.63</v>
      </c>
      <c r="J207">
        <v>1.28</v>
      </c>
      <c r="K207" t="b">
        <f t="shared" si="10"/>
        <v>1</v>
      </c>
      <c r="L207" t="b">
        <f t="shared" si="11"/>
        <v>1</v>
      </c>
    </row>
    <row r="208" spans="1:12" x14ac:dyDescent="0.3">
      <c r="A208" t="s">
        <v>221</v>
      </c>
      <c r="B208" t="s">
        <v>11</v>
      </c>
      <c r="C208">
        <v>31115029</v>
      </c>
      <c r="D208">
        <v>43411</v>
      </c>
      <c r="E208">
        <v>769</v>
      </c>
      <c r="F208">
        <f t="shared" si="9"/>
        <v>716.75</v>
      </c>
      <c r="G208">
        <v>25074412</v>
      </c>
      <c r="H208">
        <v>0.14530000000000001</v>
      </c>
      <c r="I208">
        <v>0.32</v>
      </c>
      <c r="J208">
        <v>0.81</v>
      </c>
      <c r="K208" t="b">
        <f t="shared" si="10"/>
        <v>1</v>
      </c>
      <c r="L208" t="b">
        <f t="shared" si="11"/>
        <v>1</v>
      </c>
    </row>
    <row r="209" spans="1:12" x14ac:dyDescent="0.3">
      <c r="A209" t="s">
        <v>222</v>
      </c>
      <c r="B209" t="s">
        <v>11</v>
      </c>
      <c r="C209">
        <v>36264278</v>
      </c>
      <c r="D209">
        <v>13304</v>
      </c>
      <c r="E209">
        <v>1165</v>
      </c>
      <c r="F209">
        <f t="shared" si="9"/>
        <v>2725.82</v>
      </c>
      <c r="G209">
        <v>35373895</v>
      </c>
      <c r="H209">
        <v>0.1676</v>
      </c>
      <c r="I209">
        <v>0.71</v>
      </c>
      <c r="J209">
        <v>0.98</v>
      </c>
      <c r="K209" t="b">
        <f t="shared" si="10"/>
        <v>1</v>
      </c>
      <c r="L209" t="b">
        <f t="shared" si="11"/>
        <v>1</v>
      </c>
    </row>
    <row r="210" spans="1:12" x14ac:dyDescent="0.3">
      <c r="A210" t="s">
        <v>223</v>
      </c>
      <c r="B210" t="s">
        <v>11</v>
      </c>
      <c r="C210">
        <v>22835192</v>
      </c>
      <c r="D210">
        <v>14623</v>
      </c>
      <c r="E210">
        <v>1010</v>
      </c>
      <c r="F210">
        <f t="shared" si="9"/>
        <v>1561.59</v>
      </c>
      <c r="G210">
        <v>56623945</v>
      </c>
      <c r="H210">
        <v>0.18110000000000001</v>
      </c>
      <c r="I210">
        <v>0.23</v>
      </c>
      <c r="J210">
        <v>2.48</v>
      </c>
      <c r="K210" t="b">
        <f t="shared" si="10"/>
        <v>1</v>
      </c>
      <c r="L210" t="b">
        <f t="shared" si="11"/>
        <v>1</v>
      </c>
    </row>
    <row r="211" spans="1:12" x14ac:dyDescent="0.3">
      <c r="A211" t="s">
        <v>224</v>
      </c>
      <c r="B211" t="s">
        <v>13</v>
      </c>
      <c r="C211">
        <v>44088243</v>
      </c>
      <c r="D211">
        <v>29840</v>
      </c>
      <c r="E211">
        <v>2356</v>
      </c>
      <c r="F211">
        <f t="shared" si="9"/>
        <v>1477.49</v>
      </c>
      <c r="G211">
        <v>60745388</v>
      </c>
      <c r="H211">
        <v>0.14019999999999999</v>
      </c>
      <c r="I211">
        <v>0.3</v>
      </c>
      <c r="J211">
        <v>1.38</v>
      </c>
      <c r="K211" t="b">
        <f t="shared" si="10"/>
        <v>1</v>
      </c>
      <c r="L211" t="b">
        <f t="shared" si="11"/>
        <v>1</v>
      </c>
    </row>
    <row r="212" spans="1:12" x14ac:dyDescent="0.3">
      <c r="A212" t="s">
        <v>225</v>
      </c>
      <c r="B212" t="s">
        <v>19</v>
      </c>
      <c r="C212">
        <v>13555173</v>
      </c>
      <c r="D212">
        <v>48517</v>
      </c>
      <c r="E212">
        <v>177</v>
      </c>
      <c r="F212">
        <f t="shared" si="9"/>
        <v>279.39</v>
      </c>
      <c r="G212">
        <v>84062013</v>
      </c>
      <c r="H212">
        <v>2.8799999999999999E-2</v>
      </c>
      <c r="I212">
        <v>0.49</v>
      </c>
      <c r="J212">
        <v>6.2</v>
      </c>
      <c r="K212" t="b">
        <f t="shared" si="10"/>
        <v>1</v>
      </c>
      <c r="L212" t="b">
        <f t="shared" si="11"/>
        <v>1</v>
      </c>
    </row>
    <row r="213" spans="1:12" x14ac:dyDescent="0.3">
      <c r="A213" t="s">
        <v>226</v>
      </c>
      <c r="B213" t="s">
        <v>11</v>
      </c>
      <c r="C213">
        <v>7197999</v>
      </c>
      <c r="D213">
        <v>34544</v>
      </c>
      <c r="E213">
        <v>1986</v>
      </c>
      <c r="F213">
        <f t="shared" si="9"/>
        <v>208.37</v>
      </c>
      <c r="G213">
        <v>13227103</v>
      </c>
      <c r="H213">
        <v>0.18940000000000001</v>
      </c>
      <c r="I213">
        <v>0.23</v>
      </c>
      <c r="J213">
        <v>1.84</v>
      </c>
      <c r="K213" t="b">
        <f t="shared" si="10"/>
        <v>1</v>
      </c>
      <c r="L213" t="b">
        <f t="shared" si="11"/>
        <v>1</v>
      </c>
    </row>
    <row r="214" spans="1:12" x14ac:dyDescent="0.3">
      <c r="A214" t="s">
        <v>227</v>
      </c>
      <c r="B214" t="s">
        <v>15</v>
      </c>
      <c r="C214">
        <v>39530640</v>
      </c>
      <c r="D214">
        <v>29132</v>
      </c>
      <c r="E214">
        <v>2812</v>
      </c>
      <c r="F214">
        <f t="shared" si="9"/>
        <v>1356.95</v>
      </c>
      <c r="G214">
        <v>15455538</v>
      </c>
      <c r="H214">
        <v>6.1199999999999997E-2</v>
      </c>
      <c r="I214">
        <v>0.56000000000000005</v>
      </c>
      <c r="J214">
        <v>0.39</v>
      </c>
      <c r="K214" t="b">
        <f t="shared" si="10"/>
        <v>1</v>
      </c>
      <c r="L214" t="b">
        <f t="shared" si="11"/>
        <v>1</v>
      </c>
    </row>
    <row r="215" spans="1:12" x14ac:dyDescent="0.3">
      <c r="A215" t="s">
        <v>228</v>
      </c>
      <c r="B215" t="s">
        <v>13</v>
      </c>
      <c r="C215">
        <v>49708610</v>
      </c>
      <c r="D215">
        <v>3087</v>
      </c>
      <c r="E215">
        <v>983</v>
      </c>
      <c r="F215">
        <f t="shared" si="9"/>
        <v>16102.56</v>
      </c>
      <c r="G215">
        <v>46558850</v>
      </c>
      <c r="H215">
        <v>0.1043</v>
      </c>
      <c r="I215">
        <v>0.23</v>
      </c>
      <c r="J215">
        <v>0.94</v>
      </c>
      <c r="K215" t="b">
        <f t="shared" si="10"/>
        <v>1</v>
      </c>
      <c r="L215" t="b">
        <f t="shared" si="11"/>
        <v>1</v>
      </c>
    </row>
    <row r="216" spans="1:12" x14ac:dyDescent="0.3">
      <c r="A216" t="s">
        <v>229</v>
      </c>
      <c r="B216" t="s">
        <v>19</v>
      </c>
      <c r="C216">
        <v>6184296</v>
      </c>
      <c r="D216">
        <v>16281</v>
      </c>
      <c r="E216">
        <v>2470</v>
      </c>
      <c r="F216">
        <f t="shared" si="9"/>
        <v>379.85</v>
      </c>
      <c r="G216">
        <v>77951246</v>
      </c>
      <c r="H216">
        <v>0.1186</v>
      </c>
      <c r="I216">
        <v>0.63</v>
      </c>
      <c r="J216">
        <v>12.6</v>
      </c>
      <c r="K216" t="b">
        <f t="shared" si="10"/>
        <v>1</v>
      </c>
      <c r="L216" t="b">
        <f t="shared" si="11"/>
        <v>1</v>
      </c>
    </row>
    <row r="217" spans="1:12" x14ac:dyDescent="0.3">
      <c r="A217" t="s">
        <v>230</v>
      </c>
      <c r="B217" t="s">
        <v>17</v>
      </c>
      <c r="C217">
        <v>43736307</v>
      </c>
      <c r="D217">
        <v>16404</v>
      </c>
      <c r="E217">
        <v>324</v>
      </c>
      <c r="F217">
        <f t="shared" si="9"/>
        <v>2666.2</v>
      </c>
      <c r="G217">
        <v>33076740</v>
      </c>
      <c r="H217">
        <v>0.14799999999999999</v>
      </c>
      <c r="I217">
        <v>0.65</v>
      </c>
      <c r="J217">
        <v>0.76</v>
      </c>
      <c r="K217" t="b">
        <f t="shared" si="10"/>
        <v>1</v>
      </c>
      <c r="L217" t="b">
        <f t="shared" si="11"/>
        <v>1</v>
      </c>
    </row>
    <row r="218" spans="1:12" x14ac:dyDescent="0.3">
      <c r="A218" t="s">
        <v>231</v>
      </c>
      <c r="B218" t="s">
        <v>17</v>
      </c>
      <c r="C218">
        <v>14740989</v>
      </c>
      <c r="D218">
        <v>45981</v>
      </c>
      <c r="E218">
        <v>857</v>
      </c>
      <c r="F218">
        <f t="shared" si="9"/>
        <v>320.58999999999997</v>
      </c>
      <c r="G218">
        <v>94455920</v>
      </c>
      <c r="H218">
        <v>7.7899999999999997E-2</v>
      </c>
      <c r="I218">
        <v>0.72</v>
      </c>
      <c r="J218">
        <v>6.41</v>
      </c>
      <c r="K218" t="b">
        <f t="shared" si="10"/>
        <v>1</v>
      </c>
      <c r="L218" t="b">
        <f t="shared" si="11"/>
        <v>1</v>
      </c>
    </row>
    <row r="219" spans="1:12" x14ac:dyDescent="0.3">
      <c r="A219" t="s">
        <v>232</v>
      </c>
      <c r="B219" t="s">
        <v>11</v>
      </c>
      <c r="C219">
        <v>47838607</v>
      </c>
      <c r="D219">
        <v>8168</v>
      </c>
      <c r="E219">
        <v>582</v>
      </c>
      <c r="F219">
        <f t="shared" si="9"/>
        <v>5856.83</v>
      </c>
      <c r="G219">
        <v>48720885</v>
      </c>
      <c r="H219">
        <v>0.13730000000000001</v>
      </c>
      <c r="I219">
        <v>0.46</v>
      </c>
      <c r="J219">
        <v>1.02</v>
      </c>
      <c r="K219" t="b">
        <f t="shared" si="10"/>
        <v>1</v>
      </c>
      <c r="L219" t="b">
        <f t="shared" si="11"/>
        <v>1</v>
      </c>
    </row>
    <row r="220" spans="1:12" x14ac:dyDescent="0.3">
      <c r="A220" t="s">
        <v>233</v>
      </c>
      <c r="B220" t="s">
        <v>11</v>
      </c>
      <c r="C220">
        <v>33026737</v>
      </c>
      <c r="D220">
        <v>39441</v>
      </c>
      <c r="E220">
        <v>2568</v>
      </c>
      <c r="F220">
        <f t="shared" si="9"/>
        <v>837.37</v>
      </c>
      <c r="G220">
        <v>23627109</v>
      </c>
      <c r="H220">
        <v>2.92E-2</v>
      </c>
      <c r="I220">
        <v>0.45</v>
      </c>
      <c r="J220">
        <v>0.72</v>
      </c>
      <c r="K220" t="b">
        <f t="shared" si="10"/>
        <v>1</v>
      </c>
      <c r="L220" t="b">
        <f t="shared" si="11"/>
        <v>1</v>
      </c>
    </row>
    <row r="221" spans="1:12" x14ac:dyDescent="0.3">
      <c r="A221" t="s">
        <v>234</v>
      </c>
      <c r="B221" t="s">
        <v>19</v>
      </c>
      <c r="C221">
        <v>36402163</v>
      </c>
      <c r="D221">
        <v>48490</v>
      </c>
      <c r="E221">
        <v>355</v>
      </c>
      <c r="F221">
        <f t="shared" si="9"/>
        <v>750.71</v>
      </c>
      <c r="G221">
        <v>33495035</v>
      </c>
      <c r="H221">
        <v>4.99E-2</v>
      </c>
      <c r="I221">
        <v>0.48</v>
      </c>
      <c r="J221">
        <v>0.92</v>
      </c>
      <c r="K221" t="b">
        <f t="shared" si="10"/>
        <v>1</v>
      </c>
      <c r="L221" t="b">
        <f t="shared" si="11"/>
        <v>1</v>
      </c>
    </row>
    <row r="222" spans="1:12" x14ac:dyDescent="0.3">
      <c r="A222" t="s">
        <v>235</v>
      </c>
      <c r="B222" t="s">
        <v>13</v>
      </c>
      <c r="C222">
        <v>33400101</v>
      </c>
      <c r="D222">
        <v>25453</v>
      </c>
      <c r="E222">
        <v>2923</v>
      </c>
      <c r="F222">
        <f t="shared" si="9"/>
        <v>1312.23</v>
      </c>
      <c r="G222">
        <v>70664588</v>
      </c>
      <c r="H222">
        <v>2.24E-2</v>
      </c>
      <c r="I222">
        <v>0.31</v>
      </c>
      <c r="J222">
        <v>2.12</v>
      </c>
      <c r="K222" t="b">
        <f t="shared" si="10"/>
        <v>1</v>
      </c>
      <c r="L222" t="b">
        <f t="shared" si="11"/>
        <v>1</v>
      </c>
    </row>
    <row r="223" spans="1:12" x14ac:dyDescent="0.3">
      <c r="A223" t="s">
        <v>236</v>
      </c>
      <c r="B223" t="s">
        <v>11</v>
      </c>
      <c r="C223">
        <v>25080403</v>
      </c>
      <c r="D223">
        <v>25180</v>
      </c>
      <c r="E223">
        <v>1943</v>
      </c>
      <c r="F223">
        <f t="shared" si="9"/>
        <v>996.04</v>
      </c>
      <c r="G223">
        <v>66460616</v>
      </c>
      <c r="H223">
        <v>6.5000000000000002E-2</v>
      </c>
      <c r="I223">
        <v>0.56999999999999995</v>
      </c>
      <c r="J223">
        <v>2.65</v>
      </c>
      <c r="K223" t="b">
        <f t="shared" si="10"/>
        <v>1</v>
      </c>
      <c r="L223" t="b">
        <f t="shared" si="11"/>
        <v>1</v>
      </c>
    </row>
    <row r="224" spans="1:12" x14ac:dyDescent="0.3">
      <c r="A224" t="s">
        <v>237</v>
      </c>
      <c r="B224" t="s">
        <v>19</v>
      </c>
      <c r="C224">
        <v>13802548</v>
      </c>
      <c r="D224">
        <v>44796</v>
      </c>
      <c r="E224">
        <v>1525</v>
      </c>
      <c r="F224">
        <f t="shared" si="9"/>
        <v>308.12</v>
      </c>
      <c r="G224">
        <v>51375373</v>
      </c>
      <c r="H224">
        <v>3.5099999999999999E-2</v>
      </c>
      <c r="I224">
        <v>0.21</v>
      </c>
      <c r="J224">
        <v>3.72</v>
      </c>
      <c r="K224" t="b">
        <f t="shared" si="10"/>
        <v>1</v>
      </c>
      <c r="L224" t="b">
        <f t="shared" si="11"/>
        <v>1</v>
      </c>
    </row>
    <row r="225" spans="1:12" x14ac:dyDescent="0.3">
      <c r="A225" t="s">
        <v>238</v>
      </c>
      <c r="B225" t="s">
        <v>17</v>
      </c>
      <c r="C225">
        <v>35665189</v>
      </c>
      <c r="D225">
        <v>7937</v>
      </c>
      <c r="E225">
        <v>1594</v>
      </c>
      <c r="F225">
        <f t="shared" si="9"/>
        <v>4493.54</v>
      </c>
      <c r="G225">
        <v>60750701</v>
      </c>
      <c r="H225">
        <v>5.5300000000000002E-2</v>
      </c>
      <c r="I225">
        <v>0.62</v>
      </c>
      <c r="J225">
        <v>1.7</v>
      </c>
      <c r="K225" t="b">
        <f t="shared" si="10"/>
        <v>1</v>
      </c>
      <c r="L225" t="b">
        <f t="shared" si="11"/>
        <v>1</v>
      </c>
    </row>
    <row r="226" spans="1:12" x14ac:dyDescent="0.3">
      <c r="A226" t="s">
        <v>239</v>
      </c>
      <c r="B226" t="s">
        <v>17</v>
      </c>
      <c r="C226">
        <v>32570410</v>
      </c>
      <c r="D226">
        <v>23978</v>
      </c>
      <c r="E226">
        <v>2909</v>
      </c>
      <c r="F226">
        <f t="shared" si="9"/>
        <v>1358.35</v>
      </c>
      <c r="G226">
        <v>71535027</v>
      </c>
      <c r="H226">
        <v>9.8500000000000004E-2</v>
      </c>
      <c r="I226">
        <v>0.55000000000000004</v>
      </c>
      <c r="J226">
        <v>2.2000000000000002</v>
      </c>
      <c r="K226" t="b">
        <f t="shared" si="10"/>
        <v>1</v>
      </c>
      <c r="L226" t="b">
        <f t="shared" si="11"/>
        <v>1</v>
      </c>
    </row>
    <row r="227" spans="1:12" x14ac:dyDescent="0.3">
      <c r="A227" t="s">
        <v>240</v>
      </c>
      <c r="B227" t="s">
        <v>13</v>
      </c>
      <c r="C227">
        <v>32760064</v>
      </c>
      <c r="D227">
        <v>4598</v>
      </c>
      <c r="E227">
        <v>196</v>
      </c>
      <c r="F227">
        <f t="shared" si="9"/>
        <v>7124.85</v>
      </c>
      <c r="G227">
        <v>15767688</v>
      </c>
      <c r="H227">
        <v>0.1105</v>
      </c>
      <c r="I227">
        <v>0.52</v>
      </c>
      <c r="J227">
        <v>0.48</v>
      </c>
      <c r="K227" t="b">
        <f t="shared" si="10"/>
        <v>1</v>
      </c>
      <c r="L227" t="b">
        <f t="shared" si="11"/>
        <v>1</v>
      </c>
    </row>
    <row r="228" spans="1:12" x14ac:dyDescent="0.3">
      <c r="A228" t="s">
        <v>241</v>
      </c>
      <c r="B228" t="s">
        <v>13</v>
      </c>
      <c r="C228">
        <v>19415717</v>
      </c>
      <c r="D228">
        <v>32228</v>
      </c>
      <c r="E228">
        <v>1169</v>
      </c>
      <c r="F228">
        <f t="shared" si="9"/>
        <v>602.45000000000005</v>
      </c>
      <c r="G228">
        <v>15838091</v>
      </c>
      <c r="H228">
        <v>5.67E-2</v>
      </c>
      <c r="I228">
        <v>0.35</v>
      </c>
      <c r="J228">
        <v>0.82</v>
      </c>
      <c r="K228" t="b">
        <f t="shared" si="10"/>
        <v>1</v>
      </c>
      <c r="L228" t="b">
        <f t="shared" si="11"/>
        <v>1</v>
      </c>
    </row>
    <row r="229" spans="1:12" x14ac:dyDescent="0.3">
      <c r="A229" t="s">
        <v>242</v>
      </c>
      <c r="B229" t="s">
        <v>17</v>
      </c>
      <c r="C229">
        <v>16395905</v>
      </c>
      <c r="D229">
        <v>22662</v>
      </c>
      <c r="E229">
        <v>532</v>
      </c>
      <c r="F229">
        <f t="shared" si="9"/>
        <v>723.5</v>
      </c>
      <c r="G229">
        <v>52105193</v>
      </c>
      <c r="H229">
        <v>0.1198</v>
      </c>
      <c r="I229">
        <v>0.72</v>
      </c>
      <c r="J229">
        <v>3.18</v>
      </c>
      <c r="K229" t="b">
        <f t="shared" si="10"/>
        <v>1</v>
      </c>
      <c r="L229" t="b">
        <f t="shared" si="11"/>
        <v>1</v>
      </c>
    </row>
    <row r="230" spans="1:12" x14ac:dyDescent="0.3">
      <c r="A230" t="s">
        <v>243</v>
      </c>
      <c r="B230" t="s">
        <v>13</v>
      </c>
      <c r="C230">
        <v>49273220</v>
      </c>
      <c r="D230">
        <v>15716</v>
      </c>
      <c r="E230">
        <v>1049</v>
      </c>
      <c r="F230">
        <f t="shared" si="9"/>
        <v>3135.23</v>
      </c>
      <c r="G230">
        <v>79080430</v>
      </c>
      <c r="H230">
        <v>0.14369999999999999</v>
      </c>
      <c r="I230">
        <v>0.36</v>
      </c>
      <c r="J230">
        <v>1.6</v>
      </c>
      <c r="K230" t="b">
        <f t="shared" si="10"/>
        <v>1</v>
      </c>
      <c r="L230" t="b">
        <f t="shared" si="11"/>
        <v>1</v>
      </c>
    </row>
    <row r="231" spans="1:12" x14ac:dyDescent="0.3">
      <c r="A231" t="s">
        <v>244</v>
      </c>
      <c r="B231" t="s">
        <v>13</v>
      </c>
      <c r="C231">
        <v>24087502</v>
      </c>
      <c r="D231">
        <v>24410</v>
      </c>
      <c r="E231">
        <v>1589</v>
      </c>
      <c r="F231">
        <f t="shared" si="9"/>
        <v>986.79</v>
      </c>
      <c r="G231">
        <v>86927313</v>
      </c>
      <c r="H231">
        <v>0.1211</v>
      </c>
      <c r="I231">
        <v>0.28000000000000003</v>
      </c>
      <c r="J231">
        <v>3.61</v>
      </c>
      <c r="K231" t="b">
        <f t="shared" si="10"/>
        <v>1</v>
      </c>
      <c r="L231" t="b">
        <f t="shared" si="11"/>
        <v>1</v>
      </c>
    </row>
    <row r="232" spans="1:12" x14ac:dyDescent="0.3">
      <c r="A232" t="s">
        <v>245</v>
      </c>
      <c r="B232" t="s">
        <v>17</v>
      </c>
      <c r="C232">
        <v>27030771</v>
      </c>
      <c r="D232">
        <v>41627</v>
      </c>
      <c r="E232">
        <v>1292</v>
      </c>
      <c r="F232">
        <f t="shared" si="9"/>
        <v>649.36</v>
      </c>
      <c r="G232">
        <v>48813548</v>
      </c>
      <c r="H232">
        <v>9.3299999999999994E-2</v>
      </c>
      <c r="I232">
        <v>0.78</v>
      </c>
      <c r="J232">
        <v>1.81</v>
      </c>
      <c r="K232" t="b">
        <f t="shared" si="10"/>
        <v>1</v>
      </c>
      <c r="L232" t="b">
        <f t="shared" si="11"/>
        <v>1</v>
      </c>
    </row>
    <row r="233" spans="1:12" x14ac:dyDescent="0.3">
      <c r="A233" t="s">
        <v>246</v>
      </c>
      <c r="B233" t="s">
        <v>11</v>
      </c>
      <c r="C233">
        <v>44025303</v>
      </c>
      <c r="D233">
        <v>47895</v>
      </c>
      <c r="E233">
        <v>2849</v>
      </c>
      <c r="F233">
        <f t="shared" si="9"/>
        <v>919.2</v>
      </c>
      <c r="G233">
        <v>29703750</v>
      </c>
      <c r="H233">
        <v>0.18129999999999999</v>
      </c>
      <c r="I233">
        <v>0.56000000000000005</v>
      </c>
      <c r="J233">
        <v>0.67</v>
      </c>
      <c r="K233" t="b">
        <f t="shared" si="10"/>
        <v>1</v>
      </c>
      <c r="L233" t="b">
        <f t="shared" si="11"/>
        <v>1</v>
      </c>
    </row>
    <row r="234" spans="1:12" x14ac:dyDescent="0.3">
      <c r="A234" t="s">
        <v>247</v>
      </c>
      <c r="B234" t="s">
        <v>13</v>
      </c>
      <c r="C234">
        <v>35736751</v>
      </c>
      <c r="D234">
        <v>37960</v>
      </c>
      <c r="E234">
        <v>2906</v>
      </c>
      <c r="F234">
        <f t="shared" si="9"/>
        <v>941.43</v>
      </c>
      <c r="G234">
        <v>34654940</v>
      </c>
      <c r="H234">
        <v>5.0599999999999999E-2</v>
      </c>
      <c r="I234">
        <v>0.38</v>
      </c>
      <c r="J234">
        <v>0.97</v>
      </c>
      <c r="K234" t="b">
        <f t="shared" si="10"/>
        <v>1</v>
      </c>
      <c r="L234" t="b">
        <f t="shared" si="11"/>
        <v>1</v>
      </c>
    </row>
    <row r="235" spans="1:12" x14ac:dyDescent="0.3">
      <c r="A235" t="s">
        <v>248</v>
      </c>
      <c r="B235" t="s">
        <v>11</v>
      </c>
      <c r="C235">
        <v>20303641</v>
      </c>
      <c r="D235">
        <v>40157</v>
      </c>
      <c r="E235">
        <v>729</v>
      </c>
      <c r="F235">
        <f t="shared" si="9"/>
        <v>505.61</v>
      </c>
      <c r="G235">
        <v>34570350</v>
      </c>
      <c r="H235">
        <v>0.1249</v>
      </c>
      <c r="I235">
        <v>0.73</v>
      </c>
      <c r="J235">
        <v>1.7</v>
      </c>
      <c r="K235" t="b">
        <f t="shared" si="10"/>
        <v>1</v>
      </c>
      <c r="L235" t="b">
        <f t="shared" si="11"/>
        <v>1</v>
      </c>
    </row>
    <row r="236" spans="1:12" x14ac:dyDescent="0.3">
      <c r="A236" t="s">
        <v>249</v>
      </c>
      <c r="B236" t="s">
        <v>13</v>
      </c>
      <c r="C236">
        <v>25390563</v>
      </c>
      <c r="D236">
        <v>9600</v>
      </c>
      <c r="E236">
        <v>2316</v>
      </c>
      <c r="F236">
        <f t="shared" si="9"/>
        <v>2644.85</v>
      </c>
      <c r="G236">
        <v>40639364</v>
      </c>
      <c r="H236">
        <v>0.1138</v>
      </c>
      <c r="I236">
        <v>0.23</v>
      </c>
      <c r="J236">
        <v>1.6</v>
      </c>
      <c r="K236" t="b">
        <f t="shared" si="10"/>
        <v>1</v>
      </c>
      <c r="L236" t="b">
        <f t="shared" si="11"/>
        <v>1</v>
      </c>
    </row>
    <row r="237" spans="1:12" x14ac:dyDescent="0.3">
      <c r="A237" t="s">
        <v>250</v>
      </c>
      <c r="B237" t="s">
        <v>15</v>
      </c>
      <c r="C237">
        <v>24246482</v>
      </c>
      <c r="D237">
        <v>20485</v>
      </c>
      <c r="E237">
        <v>565</v>
      </c>
      <c r="F237">
        <f t="shared" si="9"/>
        <v>1183.6199999999999</v>
      </c>
      <c r="G237">
        <v>74289417</v>
      </c>
      <c r="H237">
        <v>3.8199999999999998E-2</v>
      </c>
      <c r="I237">
        <v>0.46</v>
      </c>
      <c r="J237">
        <v>3.06</v>
      </c>
      <c r="K237" t="b">
        <f t="shared" si="10"/>
        <v>1</v>
      </c>
      <c r="L237" t="b">
        <f t="shared" si="11"/>
        <v>1</v>
      </c>
    </row>
    <row r="238" spans="1:12" x14ac:dyDescent="0.3">
      <c r="A238" t="s">
        <v>251</v>
      </c>
      <c r="B238" t="s">
        <v>19</v>
      </c>
      <c r="C238">
        <v>6479328</v>
      </c>
      <c r="D238">
        <v>21097</v>
      </c>
      <c r="E238">
        <v>2548</v>
      </c>
      <c r="F238">
        <f t="shared" si="9"/>
        <v>307.12</v>
      </c>
      <c r="G238">
        <v>12172502</v>
      </c>
      <c r="H238">
        <v>3.7600000000000001E-2</v>
      </c>
      <c r="I238">
        <v>0.59</v>
      </c>
      <c r="J238">
        <v>1.88</v>
      </c>
      <c r="K238" t="b">
        <f t="shared" si="10"/>
        <v>1</v>
      </c>
      <c r="L238" t="b">
        <f t="shared" si="11"/>
        <v>1</v>
      </c>
    </row>
    <row r="239" spans="1:12" x14ac:dyDescent="0.3">
      <c r="A239" t="s">
        <v>252</v>
      </c>
      <c r="B239" t="s">
        <v>11</v>
      </c>
      <c r="C239">
        <v>12282593</v>
      </c>
      <c r="D239">
        <v>48019</v>
      </c>
      <c r="E239">
        <v>871</v>
      </c>
      <c r="F239">
        <f t="shared" si="9"/>
        <v>255.79</v>
      </c>
      <c r="G239">
        <v>91644294</v>
      </c>
      <c r="H239">
        <v>0.1515</v>
      </c>
      <c r="I239">
        <v>0.38</v>
      </c>
      <c r="J239">
        <v>7.46</v>
      </c>
      <c r="K239" t="b">
        <f t="shared" si="10"/>
        <v>1</v>
      </c>
      <c r="L239" t="b">
        <f t="shared" si="11"/>
        <v>1</v>
      </c>
    </row>
    <row r="240" spans="1:12" x14ac:dyDescent="0.3">
      <c r="A240" t="s">
        <v>253</v>
      </c>
      <c r="B240" t="s">
        <v>19</v>
      </c>
      <c r="C240">
        <v>31446172</v>
      </c>
      <c r="D240">
        <v>28854</v>
      </c>
      <c r="E240">
        <v>771</v>
      </c>
      <c r="F240">
        <f t="shared" si="9"/>
        <v>1089.8399999999999</v>
      </c>
      <c r="G240">
        <v>46577978</v>
      </c>
      <c r="H240">
        <v>0.17649999999999999</v>
      </c>
      <c r="I240">
        <v>0.76</v>
      </c>
      <c r="J240">
        <v>1.48</v>
      </c>
      <c r="K240" t="b">
        <f t="shared" si="10"/>
        <v>1</v>
      </c>
      <c r="L240" t="b">
        <f t="shared" si="11"/>
        <v>1</v>
      </c>
    </row>
    <row r="241" spans="1:12" x14ac:dyDescent="0.3">
      <c r="A241" t="s">
        <v>254</v>
      </c>
      <c r="B241" t="s">
        <v>13</v>
      </c>
      <c r="C241">
        <v>29901127</v>
      </c>
      <c r="D241">
        <v>5902</v>
      </c>
      <c r="E241">
        <v>2260</v>
      </c>
      <c r="F241">
        <f t="shared" si="9"/>
        <v>5066.2700000000004</v>
      </c>
      <c r="G241">
        <v>13623035</v>
      </c>
      <c r="H241">
        <v>0.12820000000000001</v>
      </c>
      <c r="I241">
        <v>0.65</v>
      </c>
      <c r="J241">
        <v>0.46</v>
      </c>
      <c r="K241" t="b">
        <f t="shared" si="10"/>
        <v>1</v>
      </c>
      <c r="L241" t="b">
        <f t="shared" si="11"/>
        <v>1</v>
      </c>
    </row>
    <row r="242" spans="1:12" x14ac:dyDescent="0.3">
      <c r="A242" t="s">
        <v>255</v>
      </c>
      <c r="B242" t="s">
        <v>19</v>
      </c>
      <c r="C242">
        <v>48561915</v>
      </c>
      <c r="D242">
        <v>15248</v>
      </c>
      <c r="E242">
        <v>294</v>
      </c>
      <c r="F242">
        <f t="shared" si="9"/>
        <v>3184.81</v>
      </c>
      <c r="G242">
        <v>10546144</v>
      </c>
      <c r="H242">
        <v>0.1085</v>
      </c>
      <c r="I242">
        <v>0.46</v>
      </c>
      <c r="J242">
        <v>0.22</v>
      </c>
      <c r="K242" t="b">
        <f t="shared" si="10"/>
        <v>1</v>
      </c>
      <c r="L242" t="b">
        <f t="shared" si="11"/>
        <v>1</v>
      </c>
    </row>
    <row r="243" spans="1:12" x14ac:dyDescent="0.3">
      <c r="A243" t="s">
        <v>256</v>
      </c>
      <c r="B243" t="s">
        <v>13</v>
      </c>
      <c r="C243">
        <v>13449149</v>
      </c>
      <c r="D243">
        <v>7156</v>
      </c>
      <c r="E243">
        <v>1850</v>
      </c>
      <c r="F243">
        <f t="shared" si="9"/>
        <v>1879.42</v>
      </c>
      <c r="G243">
        <v>21089806</v>
      </c>
      <c r="H243">
        <v>7.2700000000000001E-2</v>
      </c>
      <c r="I243">
        <v>0.22</v>
      </c>
      <c r="J243">
        <v>1.57</v>
      </c>
      <c r="K243" t="b">
        <f t="shared" si="10"/>
        <v>1</v>
      </c>
      <c r="L243" t="b">
        <f t="shared" si="11"/>
        <v>1</v>
      </c>
    </row>
    <row r="244" spans="1:12" x14ac:dyDescent="0.3">
      <c r="A244" t="s">
        <v>257</v>
      </c>
      <c r="B244" t="s">
        <v>19</v>
      </c>
      <c r="C244">
        <v>8989084</v>
      </c>
      <c r="D244">
        <v>41646</v>
      </c>
      <c r="E244">
        <v>853</v>
      </c>
      <c r="F244">
        <f t="shared" si="9"/>
        <v>215.85</v>
      </c>
      <c r="G244">
        <v>58601786</v>
      </c>
      <c r="H244">
        <v>0.1065</v>
      </c>
      <c r="I244">
        <v>0.49</v>
      </c>
      <c r="J244">
        <v>6.52</v>
      </c>
      <c r="K244" t="b">
        <f t="shared" si="10"/>
        <v>1</v>
      </c>
      <c r="L244" t="b">
        <f t="shared" si="11"/>
        <v>1</v>
      </c>
    </row>
    <row r="245" spans="1:12" x14ac:dyDescent="0.3">
      <c r="A245" t="s">
        <v>258</v>
      </c>
      <c r="B245" t="s">
        <v>19</v>
      </c>
      <c r="C245">
        <v>45677047</v>
      </c>
      <c r="D245">
        <v>6964</v>
      </c>
      <c r="E245">
        <v>893</v>
      </c>
      <c r="F245">
        <f t="shared" si="9"/>
        <v>6559.02</v>
      </c>
      <c r="G245">
        <v>44029822</v>
      </c>
      <c r="H245">
        <v>0.18540000000000001</v>
      </c>
      <c r="I245">
        <v>0.32</v>
      </c>
      <c r="J245">
        <v>0.96</v>
      </c>
      <c r="K245" t="b">
        <f t="shared" si="10"/>
        <v>1</v>
      </c>
      <c r="L245" t="b">
        <f t="shared" si="11"/>
        <v>1</v>
      </c>
    </row>
    <row r="246" spans="1:12" x14ac:dyDescent="0.3">
      <c r="A246" t="s">
        <v>259</v>
      </c>
      <c r="B246" t="s">
        <v>17</v>
      </c>
      <c r="C246">
        <v>23812536</v>
      </c>
      <c r="D246">
        <v>16694</v>
      </c>
      <c r="E246">
        <v>1184</v>
      </c>
      <c r="F246">
        <f t="shared" si="9"/>
        <v>1426.41</v>
      </c>
      <c r="G246">
        <v>91092809</v>
      </c>
      <c r="H246">
        <v>6.7400000000000002E-2</v>
      </c>
      <c r="I246">
        <v>0.31</v>
      </c>
      <c r="J246">
        <v>3.83</v>
      </c>
      <c r="K246" t="b">
        <f t="shared" si="10"/>
        <v>1</v>
      </c>
      <c r="L246" t="b">
        <f t="shared" si="11"/>
        <v>1</v>
      </c>
    </row>
    <row r="247" spans="1:12" x14ac:dyDescent="0.3">
      <c r="A247" t="s">
        <v>260</v>
      </c>
      <c r="B247" t="s">
        <v>17</v>
      </c>
      <c r="C247">
        <v>22199555</v>
      </c>
      <c r="D247">
        <v>19572</v>
      </c>
      <c r="E247">
        <v>282</v>
      </c>
      <c r="F247">
        <f t="shared" si="9"/>
        <v>1134.25</v>
      </c>
      <c r="G247">
        <v>95012554</v>
      </c>
      <c r="H247">
        <v>7.1599999999999997E-2</v>
      </c>
      <c r="I247">
        <v>0.49</v>
      </c>
      <c r="J247">
        <v>4.28</v>
      </c>
      <c r="K247" t="b">
        <f t="shared" si="10"/>
        <v>1</v>
      </c>
      <c r="L247" t="b">
        <f t="shared" si="11"/>
        <v>1</v>
      </c>
    </row>
    <row r="248" spans="1:12" x14ac:dyDescent="0.3">
      <c r="A248" t="s">
        <v>261</v>
      </c>
      <c r="B248" t="s">
        <v>11</v>
      </c>
      <c r="C248">
        <v>26753069</v>
      </c>
      <c r="D248">
        <v>40644</v>
      </c>
      <c r="E248">
        <v>2683</v>
      </c>
      <c r="F248">
        <f t="shared" ref="F248:F311" si="12">IF(D248 = 0,FALSE,ROUND(C248/D248,2))</f>
        <v>658.23</v>
      </c>
      <c r="G248">
        <v>91739902</v>
      </c>
      <c r="H248">
        <v>8.7599999999999997E-2</v>
      </c>
      <c r="I248">
        <v>0.74</v>
      </c>
      <c r="J248">
        <v>3.43</v>
      </c>
      <c r="K248" t="b">
        <f t="shared" ref="K248:K311" si="13" xml:space="preserve"> IF(E248&gt;D248,FALSE,TRUE)</f>
        <v>1</v>
      </c>
      <c r="L248" t="b">
        <f t="shared" si="11"/>
        <v>1</v>
      </c>
    </row>
    <row r="249" spans="1:12" x14ac:dyDescent="0.3">
      <c r="A249" t="s">
        <v>262</v>
      </c>
      <c r="B249" t="s">
        <v>11</v>
      </c>
      <c r="C249">
        <v>15009701</v>
      </c>
      <c r="D249">
        <v>45864</v>
      </c>
      <c r="E249">
        <v>1354</v>
      </c>
      <c r="F249">
        <f t="shared" si="12"/>
        <v>327.27</v>
      </c>
      <c r="G249">
        <v>92717321</v>
      </c>
      <c r="H249">
        <v>0.1318</v>
      </c>
      <c r="I249">
        <v>0.65</v>
      </c>
      <c r="J249">
        <v>6.18</v>
      </c>
      <c r="K249" t="b">
        <f t="shared" si="13"/>
        <v>1</v>
      </c>
      <c r="L249" t="b">
        <f t="shared" si="11"/>
        <v>1</v>
      </c>
    </row>
    <row r="250" spans="1:12" x14ac:dyDescent="0.3">
      <c r="A250" t="s">
        <v>263</v>
      </c>
      <c r="B250" t="s">
        <v>13</v>
      </c>
      <c r="C250">
        <v>7916645</v>
      </c>
      <c r="D250">
        <v>5652</v>
      </c>
      <c r="E250">
        <v>1352</v>
      </c>
      <c r="F250">
        <f t="shared" si="12"/>
        <v>1400.68</v>
      </c>
      <c r="G250">
        <v>66915100</v>
      </c>
      <c r="H250">
        <v>0.16420000000000001</v>
      </c>
      <c r="I250">
        <v>0.3</v>
      </c>
      <c r="J250">
        <v>8.4499999999999993</v>
      </c>
      <c r="K250" t="b">
        <f t="shared" si="13"/>
        <v>1</v>
      </c>
      <c r="L250" t="b">
        <f t="shared" si="11"/>
        <v>1</v>
      </c>
    </row>
    <row r="251" spans="1:12" x14ac:dyDescent="0.3">
      <c r="A251" t="s">
        <v>264</v>
      </c>
      <c r="B251" t="s">
        <v>15</v>
      </c>
      <c r="C251">
        <v>48128267</v>
      </c>
      <c r="D251">
        <v>11242</v>
      </c>
      <c r="E251">
        <v>2280</v>
      </c>
      <c r="F251">
        <f t="shared" si="12"/>
        <v>4281.1099999999997</v>
      </c>
      <c r="G251">
        <v>40514865</v>
      </c>
      <c r="H251">
        <v>0.14760000000000001</v>
      </c>
      <c r="I251">
        <v>0.44</v>
      </c>
      <c r="J251">
        <v>0.84</v>
      </c>
      <c r="K251" t="b">
        <f t="shared" si="13"/>
        <v>1</v>
      </c>
      <c r="L251" t="b">
        <f t="shared" ref="L251:L314" si="14">IF(E251/D251*100&gt;50,FALSE,TRUE)</f>
        <v>1</v>
      </c>
    </row>
    <row r="252" spans="1:12" x14ac:dyDescent="0.3">
      <c r="A252" t="s">
        <v>265</v>
      </c>
      <c r="B252" t="s">
        <v>11</v>
      </c>
      <c r="C252">
        <v>32254042</v>
      </c>
      <c r="D252">
        <v>16081</v>
      </c>
      <c r="E252">
        <v>498</v>
      </c>
      <c r="F252">
        <f t="shared" si="12"/>
        <v>2005.72</v>
      </c>
      <c r="G252">
        <v>23941835</v>
      </c>
      <c r="H252">
        <v>8.0600000000000005E-2</v>
      </c>
      <c r="I252">
        <v>0.76</v>
      </c>
      <c r="J252">
        <v>0.74</v>
      </c>
      <c r="K252" t="b">
        <f t="shared" si="13"/>
        <v>1</v>
      </c>
      <c r="L252" t="b">
        <f t="shared" si="14"/>
        <v>1</v>
      </c>
    </row>
    <row r="253" spans="1:12" x14ac:dyDescent="0.3">
      <c r="A253" t="s">
        <v>266</v>
      </c>
      <c r="B253" t="s">
        <v>11</v>
      </c>
      <c r="C253">
        <v>15216416</v>
      </c>
      <c r="D253">
        <v>48964</v>
      </c>
      <c r="E253">
        <v>1300</v>
      </c>
      <c r="F253">
        <f t="shared" si="12"/>
        <v>310.77</v>
      </c>
      <c r="G253">
        <v>68439379</v>
      </c>
      <c r="H253">
        <v>0.1101</v>
      </c>
      <c r="I253">
        <v>0.72</v>
      </c>
      <c r="J253">
        <v>4.5</v>
      </c>
      <c r="K253" t="b">
        <f t="shared" si="13"/>
        <v>1</v>
      </c>
      <c r="L253" t="b">
        <f t="shared" si="14"/>
        <v>1</v>
      </c>
    </row>
    <row r="254" spans="1:12" x14ac:dyDescent="0.3">
      <c r="A254" t="s">
        <v>267</v>
      </c>
      <c r="B254" t="s">
        <v>17</v>
      </c>
      <c r="C254">
        <v>5273437</v>
      </c>
      <c r="D254">
        <v>39977</v>
      </c>
      <c r="E254">
        <v>334</v>
      </c>
      <c r="F254">
        <f t="shared" si="12"/>
        <v>131.91</v>
      </c>
      <c r="G254">
        <v>72821815</v>
      </c>
      <c r="H254">
        <v>0.14879999999999999</v>
      </c>
      <c r="I254">
        <v>0.52</v>
      </c>
      <c r="J254">
        <v>13.81</v>
      </c>
      <c r="K254" t="b">
        <f t="shared" si="13"/>
        <v>1</v>
      </c>
      <c r="L254" t="b">
        <f t="shared" si="14"/>
        <v>1</v>
      </c>
    </row>
    <row r="255" spans="1:12" x14ac:dyDescent="0.3">
      <c r="A255" t="s">
        <v>268</v>
      </c>
      <c r="B255" t="s">
        <v>13</v>
      </c>
      <c r="C255">
        <v>38736858</v>
      </c>
      <c r="D255">
        <v>37937</v>
      </c>
      <c r="E255">
        <v>1018</v>
      </c>
      <c r="F255">
        <f t="shared" si="12"/>
        <v>1021.08</v>
      </c>
      <c r="G255">
        <v>24274907</v>
      </c>
      <c r="H255">
        <v>0.1237</v>
      </c>
      <c r="I255">
        <v>0.53</v>
      </c>
      <c r="J255">
        <v>0.63</v>
      </c>
      <c r="K255" t="b">
        <f t="shared" si="13"/>
        <v>1</v>
      </c>
      <c r="L255" t="b">
        <f t="shared" si="14"/>
        <v>1</v>
      </c>
    </row>
    <row r="256" spans="1:12" x14ac:dyDescent="0.3">
      <c r="A256" t="s">
        <v>269</v>
      </c>
      <c r="B256" t="s">
        <v>15</v>
      </c>
      <c r="C256">
        <v>46226421</v>
      </c>
      <c r="D256">
        <v>24608</v>
      </c>
      <c r="E256">
        <v>1439</v>
      </c>
      <c r="F256">
        <f t="shared" si="12"/>
        <v>1878.51</v>
      </c>
      <c r="G256">
        <v>70747437</v>
      </c>
      <c r="H256">
        <v>8.8200000000000001E-2</v>
      </c>
      <c r="I256">
        <v>0.26</v>
      </c>
      <c r="J256">
        <v>1.53</v>
      </c>
      <c r="K256" t="b">
        <f t="shared" si="13"/>
        <v>1</v>
      </c>
      <c r="L256" t="b">
        <f t="shared" si="14"/>
        <v>1</v>
      </c>
    </row>
    <row r="257" spans="1:12" x14ac:dyDescent="0.3">
      <c r="A257" t="s">
        <v>270</v>
      </c>
      <c r="B257" t="s">
        <v>17</v>
      </c>
      <c r="C257">
        <v>11562987</v>
      </c>
      <c r="D257">
        <v>48649</v>
      </c>
      <c r="E257">
        <v>619</v>
      </c>
      <c r="F257">
        <f t="shared" si="12"/>
        <v>237.68</v>
      </c>
      <c r="G257">
        <v>60363892</v>
      </c>
      <c r="H257">
        <v>4.4400000000000002E-2</v>
      </c>
      <c r="I257">
        <v>0.39</v>
      </c>
      <c r="J257">
        <v>5.22</v>
      </c>
      <c r="K257" t="b">
        <f t="shared" si="13"/>
        <v>1</v>
      </c>
      <c r="L257" t="b">
        <f t="shared" si="14"/>
        <v>1</v>
      </c>
    </row>
    <row r="258" spans="1:12" x14ac:dyDescent="0.3">
      <c r="A258" t="s">
        <v>271</v>
      </c>
      <c r="B258" t="s">
        <v>11</v>
      </c>
      <c r="C258">
        <v>7562561</v>
      </c>
      <c r="D258">
        <v>6467</v>
      </c>
      <c r="E258">
        <v>182</v>
      </c>
      <c r="F258">
        <f t="shared" si="12"/>
        <v>1169.4100000000001</v>
      </c>
      <c r="G258">
        <v>13986490</v>
      </c>
      <c r="H258">
        <v>0.1474</v>
      </c>
      <c r="I258">
        <v>0.63</v>
      </c>
      <c r="J258">
        <v>1.85</v>
      </c>
      <c r="K258" t="b">
        <f t="shared" si="13"/>
        <v>1</v>
      </c>
      <c r="L258" t="b">
        <f t="shared" si="14"/>
        <v>1</v>
      </c>
    </row>
    <row r="259" spans="1:12" x14ac:dyDescent="0.3">
      <c r="A259" t="s">
        <v>272</v>
      </c>
      <c r="B259" t="s">
        <v>13</v>
      </c>
      <c r="C259">
        <v>38074175</v>
      </c>
      <c r="D259">
        <v>7822</v>
      </c>
      <c r="E259">
        <v>2966</v>
      </c>
      <c r="F259">
        <f t="shared" si="12"/>
        <v>4867.58</v>
      </c>
      <c r="G259">
        <v>44820022</v>
      </c>
      <c r="H259">
        <v>3.1E-2</v>
      </c>
      <c r="I259">
        <v>0.27</v>
      </c>
      <c r="J259">
        <v>1.18</v>
      </c>
      <c r="K259" t="b">
        <f t="shared" si="13"/>
        <v>1</v>
      </c>
      <c r="L259" t="b">
        <f t="shared" si="14"/>
        <v>1</v>
      </c>
    </row>
    <row r="260" spans="1:12" x14ac:dyDescent="0.3">
      <c r="A260" t="s">
        <v>273</v>
      </c>
      <c r="B260" t="s">
        <v>11</v>
      </c>
      <c r="C260">
        <v>36358729</v>
      </c>
      <c r="D260">
        <v>15082</v>
      </c>
      <c r="E260">
        <v>514</v>
      </c>
      <c r="F260">
        <f t="shared" si="12"/>
        <v>2410.7399999999998</v>
      </c>
      <c r="G260">
        <v>78492355</v>
      </c>
      <c r="H260">
        <v>7.3200000000000001E-2</v>
      </c>
      <c r="I260">
        <v>0.24</v>
      </c>
      <c r="J260">
        <v>2.16</v>
      </c>
      <c r="K260" t="b">
        <f t="shared" si="13"/>
        <v>1</v>
      </c>
      <c r="L260" t="b">
        <f t="shared" si="14"/>
        <v>1</v>
      </c>
    </row>
    <row r="261" spans="1:12" x14ac:dyDescent="0.3">
      <c r="A261" t="s">
        <v>274</v>
      </c>
      <c r="B261" t="s">
        <v>17</v>
      </c>
      <c r="C261">
        <v>16382385</v>
      </c>
      <c r="D261">
        <v>32292</v>
      </c>
      <c r="E261">
        <v>2686</v>
      </c>
      <c r="F261">
        <f t="shared" si="12"/>
        <v>507.32</v>
      </c>
      <c r="G261">
        <v>91950446</v>
      </c>
      <c r="H261">
        <v>6.4600000000000005E-2</v>
      </c>
      <c r="I261">
        <v>0.65</v>
      </c>
      <c r="J261">
        <v>5.61</v>
      </c>
      <c r="K261" t="b">
        <f t="shared" si="13"/>
        <v>1</v>
      </c>
      <c r="L261" t="b">
        <f t="shared" si="14"/>
        <v>1</v>
      </c>
    </row>
    <row r="262" spans="1:12" x14ac:dyDescent="0.3">
      <c r="A262" t="s">
        <v>275</v>
      </c>
      <c r="B262" t="s">
        <v>13</v>
      </c>
      <c r="C262">
        <v>19361011</v>
      </c>
      <c r="D262">
        <v>6846</v>
      </c>
      <c r="E262">
        <v>2693</v>
      </c>
      <c r="F262">
        <f t="shared" si="12"/>
        <v>2828.08</v>
      </c>
      <c r="G262">
        <v>36200122</v>
      </c>
      <c r="H262">
        <v>7.1999999999999995E-2</v>
      </c>
      <c r="I262">
        <v>0.31</v>
      </c>
      <c r="J262">
        <v>1.87</v>
      </c>
      <c r="K262" t="b">
        <f t="shared" si="13"/>
        <v>1</v>
      </c>
      <c r="L262" t="b">
        <f t="shared" si="14"/>
        <v>1</v>
      </c>
    </row>
    <row r="263" spans="1:12" x14ac:dyDescent="0.3">
      <c r="A263" t="s">
        <v>276</v>
      </c>
      <c r="B263" t="s">
        <v>17</v>
      </c>
      <c r="C263">
        <v>30412268</v>
      </c>
      <c r="D263">
        <v>32724</v>
      </c>
      <c r="E263">
        <v>2053</v>
      </c>
      <c r="F263">
        <f t="shared" si="12"/>
        <v>929.36</v>
      </c>
      <c r="G263">
        <v>54188853</v>
      </c>
      <c r="H263">
        <v>2.0299999999999999E-2</v>
      </c>
      <c r="I263">
        <v>0.71</v>
      </c>
      <c r="J263">
        <v>1.78</v>
      </c>
      <c r="K263" t="b">
        <f t="shared" si="13"/>
        <v>1</v>
      </c>
      <c r="L263" t="b">
        <f t="shared" si="14"/>
        <v>1</v>
      </c>
    </row>
    <row r="264" spans="1:12" x14ac:dyDescent="0.3">
      <c r="A264" t="s">
        <v>277</v>
      </c>
      <c r="B264" t="s">
        <v>19</v>
      </c>
      <c r="C264">
        <v>31429935</v>
      </c>
      <c r="D264">
        <v>8507</v>
      </c>
      <c r="E264">
        <v>2940</v>
      </c>
      <c r="F264">
        <f t="shared" si="12"/>
        <v>3694.6</v>
      </c>
      <c r="G264">
        <v>91292953</v>
      </c>
      <c r="H264">
        <v>5.21E-2</v>
      </c>
      <c r="I264">
        <v>0.78</v>
      </c>
      <c r="J264">
        <v>2.9</v>
      </c>
      <c r="K264" t="b">
        <f t="shared" si="13"/>
        <v>1</v>
      </c>
      <c r="L264" t="b">
        <f t="shared" si="14"/>
        <v>1</v>
      </c>
    </row>
    <row r="265" spans="1:12" x14ac:dyDescent="0.3">
      <c r="A265" t="s">
        <v>278</v>
      </c>
      <c r="B265" t="s">
        <v>13</v>
      </c>
      <c r="C265">
        <v>9197991</v>
      </c>
      <c r="D265">
        <v>36555</v>
      </c>
      <c r="E265">
        <v>2737</v>
      </c>
      <c r="F265">
        <f t="shared" si="12"/>
        <v>251.62</v>
      </c>
      <c r="G265">
        <v>15033776</v>
      </c>
      <c r="H265">
        <v>1.7600000000000001E-2</v>
      </c>
      <c r="I265">
        <v>0.25</v>
      </c>
      <c r="J265">
        <v>1.63</v>
      </c>
      <c r="K265" t="b">
        <f t="shared" si="13"/>
        <v>1</v>
      </c>
      <c r="L265" t="b">
        <f t="shared" si="14"/>
        <v>1</v>
      </c>
    </row>
    <row r="266" spans="1:12" x14ac:dyDescent="0.3">
      <c r="A266" t="s">
        <v>279</v>
      </c>
      <c r="B266" t="s">
        <v>17</v>
      </c>
      <c r="C266">
        <v>44073387</v>
      </c>
      <c r="D266">
        <v>17762</v>
      </c>
      <c r="E266">
        <v>2237</v>
      </c>
      <c r="F266">
        <f t="shared" si="12"/>
        <v>2481.33</v>
      </c>
      <c r="G266">
        <v>63879047</v>
      </c>
      <c r="H266">
        <v>0.1208</v>
      </c>
      <c r="I266">
        <v>0.2</v>
      </c>
      <c r="J266">
        <v>1.45</v>
      </c>
      <c r="K266" t="b">
        <f t="shared" si="13"/>
        <v>1</v>
      </c>
      <c r="L266" t="b">
        <f t="shared" si="14"/>
        <v>1</v>
      </c>
    </row>
    <row r="267" spans="1:12" x14ac:dyDescent="0.3">
      <c r="A267" t="s">
        <v>280</v>
      </c>
      <c r="B267" t="s">
        <v>15</v>
      </c>
      <c r="C267">
        <v>34822422</v>
      </c>
      <c r="D267">
        <v>3273</v>
      </c>
      <c r="E267">
        <v>316</v>
      </c>
      <c r="F267">
        <f t="shared" si="12"/>
        <v>10639.3</v>
      </c>
      <c r="G267">
        <v>72397814</v>
      </c>
      <c r="H267">
        <v>1.3299999999999999E-2</v>
      </c>
      <c r="I267">
        <v>0.72</v>
      </c>
      <c r="J267">
        <v>2.08</v>
      </c>
      <c r="K267" t="b">
        <f t="shared" si="13"/>
        <v>1</v>
      </c>
      <c r="L267" t="b">
        <f t="shared" si="14"/>
        <v>1</v>
      </c>
    </row>
    <row r="268" spans="1:12" x14ac:dyDescent="0.3">
      <c r="A268" t="s">
        <v>281</v>
      </c>
      <c r="B268" t="s">
        <v>13</v>
      </c>
      <c r="C268">
        <v>11297720</v>
      </c>
      <c r="D268">
        <v>47149</v>
      </c>
      <c r="E268">
        <v>2753</v>
      </c>
      <c r="F268">
        <f t="shared" si="12"/>
        <v>239.62</v>
      </c>
      <c r="G268">
        <v>36680944</v>
      </c>
      <c r="H268">
        <v>9.7000000000000003E-2</v>
      </c>
      <c r="I268">
        <v>0.56000000000000005</v>
      </c>
      <c r="J268">
        <v>3.25</v>
      </c>
      <c r="K268" t="b">
        <f t="shared" si="13"/>
        <v>1</v>
      </c>
      <c r="L268" t="b">
        <f t="shared" si="14"/>
        <v>1</v>
      </c>
    </row>
    <row r="269" spans="1:12" x14ac:dyDescent="0.3">
      <c r="A269" t="s">
        <v>282</v>
      </c>
      <c r="B269" t="s">
        <v>11</v>
      </c>
      <c r="C269">
        <v>40869860</v>
      </c>
      <c r="D269">
        <v>13015</v>
      </c>
      <c r="E269">
        <v>2563</v>
      </c>
      <c r="F269">
        <f t="shared" si="12"/>
        <v>3140.21</v>
      </c>
      <c r="G269">
        <v>77330729</v>
      </c>
      <c r="H269">
        <v>8.4699999999999998E-2</v>
      </c>
      <c r="I269">
        <v>0.63</v>
      </c>
      <c r="J269">
        <v>1.89</v>
      </c>
      <c r="K269" t="b">
        <f t="shared" si="13"/>
        <v>1</v>
      </c>
      <c r="L269" t="b">
        <f t="shared" si="14"/>
        <v>1</v>
      </c>
    </row>
    <row r="270" spans="1:12" x14ac:dyDescent="0.3">
      <c r="A270" t="s">
        <v>283</v>
      </c>
      <c r="B270" t="s">
        <v>15</v>
      </c>
      <c r="C270">
        <v>40849816</v>
      </c>
      <c r="D270">
        <v>31164</v>
      </c>
      <c r="E270">
        <v>707</v>
      </c>
      <c r="F270">
        <f t="shared" si="12"/>
        <v>1310.8</v>
      </c>
      <c r="G270">
        <v>80215707</v>
      </c>
      <c r="H270">
        <v>2.4299999999999999E-2</v>
      </c>
      <c r="I270">
        <v>0.35</v>
      </c>
      <c r="J270">
        <v>1.96</v>
      </c>
      <c r="K270" t="b">
        <f t="shared" si="13"/>
        <v>1</v>
      </c>
      <c r="L270" t="b">
        <f t="shared" si="14"/>
        <v>1</v>
      </c>
    </row>
    <row r="271" spans="1:12" x14ac:dyDescent="0.3">
      <c r="A271" t="s">
        <v>284</v>
      </c>
      <c r="B271" t="s">
        <v>15</v>
      </c>
      <c r="C271">
        <v>32130056</v>
      </c>
      <c r="D271">
        <v>36293</v>
      </c>
      <c r="E271">
        <v>561</v>
      </c>
      <c r="F271">
        <f t="shared" si="12"/>
        <v>885.3</v>
      </c>
      <c r="G271">
        <v>93441847</v>
      </c>
      <c r="H271">
        <v>3.1399999999999997E-2</v>
      </c>
      <c r="I271">
        <v>0.46</v>
      </c>
      <c r="J271">
        <v>2.91</v>
      </c>
      <c r="K271" t="b">
        <f t="shared" si="13"/>
        <v>1</v>
      </c>
      <c r="L271" t="b">
        <f t="shared" si="14"/>
        <v>1</v>
      </c>
    </row>
    <row r="272" spans="1:12" x14ac:dyDescent="0.3">
      <c r="A272" t="s">
        <v>285</v>
      </c>
      <c r="B272" t="s">
        <v>13</v>
      </c>
      <c r="C272">
        <v>45741517</v>
      </c>
      <c r="D272">
        <v>20460</v>
      </c>
      <c r="E272">
        <v>1361</v>
      </c>
      <c r="F272">
        <f t="shared" si="12"/>
        <v>2235.66</v>
      </c>
      <c r="G272">
        <v>54008605</v>
      </c>
      <c r="H272">
        <v>0.1318</v>
      </c>
      <c r="I272">
        <v>0.24</v>
      </c>
      <c r="J272">
        <v>1.18</v>
      </c>
      <c r="K272" t="b">
        <f t="shared" si="13"/>
        <v>1</v>
      </c>
      <c r="L272" t="b">
        <f t="shared" si="14"/>
        <v>1</v>
      </c>
    </row>
    <row r="273" spans="1:12" x14ac:dyDescent="0.3">
      <c r="A273" t="s">
        <v>286</v>
      </c>
      <c r="B273" t="s">
        <v>11</v>
      </c>
      <c r="C273">
        <v>21794569</v>
      </c>
      <c r="D273">
        <v>46019</v>
      </c>
      <c r="E273">
        <v>2081</v>
      </c>
      <c r="F273">
        <f t="shared" si="12"/>
        <v>473.6</v>
      </c>
      <c r="G273">
        <v>18999862</v>
      </c>
      <c r="H273">
        <v>5.5599999999999997E-2</v>
      </c>
      <c r="I273">
        <v>0.59</v>
      </c>
      <c r="J273">
        <v>0.87</v>
      </c>
      <c r="K273" t="b">
        <f t="shared" si="13"/>
        <v>1</v>
      </c>
      <c r="L273" t="b">
        <f t="shared" si="14"/>
        <v>1</v>
      </c>
    </row>
    <row r="274" spans="1:12" x14ac:dyDescent="0.3">
      <c r="A274" t="s">
        <v>287</v>
      </c>
      <c r="B274" t="s">
        <v>11</v>
      </c>
      <c r="C274">
        <v>7095869</v>
      </c>
      <c r="D274">
        <v>23489</v>
      </c>
      <c r="E274">
        <v>169</v>
      </c>
      <c r="F274">
        <f t="shared" si="12"/>
        <v>302.08999999999997</v>
      </c>
      <c r="G274">
        <v>77715102</v>
      </c>
      <c r="H274">
        <v>3.4799999999999998E-2</v>
      </c>
      <c r="I274">
        <v>0.35</v>
      </c>
      <c r="J274">
        <v>10.95</v>
      </c>
      <c r="K274" t="b">
        <f t="shared" si="13"/>
        <v>1</v>
      </c>
      <c r="L274" t="b">
        <f t="shared" si="14"/>
        <v>1</v>
      </c>
    </row>
    <row r="275" spans="1:12" x14ac:dyDescent="0.3">
      <c r="A275" t="s">
        <v>288</v>
      </c>
      <c r="B275" t="s">
        <v>13</v>
      </c>
      <c r="C275">
        <v>18987839</v>
      </c>
      <c r="D275">
        <v>38568</v>
      </c>
      <c r="E275">
        <v>1295</v>
      </c>
      <c r="F275">
        <f t="shared" si="12"/>
        <v>492.32</v>
      </c>
      <c r="G275">
        <v>60928989</v>
      </c>
      <c r="H275">
        <v>0.18360000000000001</v>
      </c>
      <c r="I275">
        <v>0.52</v>
      </c>
      <c r="J275">
        <v>3.21</v>
      </c>
      <c r="K275" t="b">
        <f t="shared" si="13"/>
        <v>1</v>
      </c>
      <c r="L275" t="b">
        <f t="shared" si="14"/>
        <v>1</v>
      </c>
    </row>
    <row r="276" spans="1:12" x14ac:dyDescent="0.3">
      <c r="A276" t="s">
        <v>289</v>
      </c>
      <c r="B276" t="s">
        <v>19</v>
      </c>
      <c r="C276">
        <v>48159423</v>
      </c>
      <c r="D276">
        <v>17622</v>
      </c>
      <c r="E276">
        <v>1392</v>
      </c>
      <c r="F276">
        <f t="shared" si="12"/>
        <v>2732.91</v>
      </c>
      <c r="G276">
        <v>14657779</v>
      </c>
      <c r="H276">
        <v>0.1132</v>
      </c>
      <c r="I276">
        <v>0.21</v>
      </c>
      <c r="J276">
        <v>0.3</v>
      </c>
      <c r="K276" t="b">
        <f t="shared" si="13"/>
        <v>1</v>
      </c>
      <c r="L276" t="b">
        <f t="shared" si="14"/>
        <v>1</v>
      </c>
    </row>
    <row r="277" spans="1:12" x14ac:dyDescent="0.3">
      <c r="A277" t="s">
        <v>290</v>
      </c>
      <c r="B277" t="s">
        <v>15</v>
      </c>
      <c r="C277">
        <v>43807467</v>
      </c>
      <c r="D277">
        <v>39483</v>
      </c>
      <c r="E277">
        <v>2499</v>
      </c>
      <c r="F277">
        <f t="shared" si="12"/>
        <v>1109.53</v>
      </c>
      <c r="G277">
        <v>42891392</v>
      </c>
      <c r="H277">
        <v>7.1800000000000003E-2</v>
      </c>
      <c r="I277">
        <v>0.35</v>
      </c>
      <c r="J277">
        <v>0.98</v>
      </c>
      <c r="K277" t="b">
        <f t="shared" si="13"/>
        <v>1</v>
      </c>
      <c r="L277" t="b">
        <f t="shared" si="14"/>
        <v>1</v>
      </c>
    </row>
    <row r="278" spans="1:12" x14ac:dyDescent="0.3">
      <c r="A278" t="s">
        <v>291</v>
      </c>
      <c r="B278" t="s">
        <v>15</v>
      </c>
      <c r="C278">
        <v>7106064</v>
      </c>
      <c r="D278">
        <v>29188</v>
      </c>
      <c r="E278">
        <v>653</v>
      </c>
      <c r="F278">
        <f t="shared" si="12"/>
        <v>243.46</v>
      </c>
      <c r="G278">
        <v>62404926</v>
      </c>
      <c r="H278">
        <v>0.14349999999999999</v>
      </c>
      <c r="I278">
        <v>0.69</v>
      </c>
      <c r="J278">
        <v>8.7799999999999994</v>
      </c>
      <c r="K278" t="b">
        <f t="shared" si="13"/>
        <v>1</v>
      </c>
      <c r="L278" t="b">
        <f t="shared" si="14"/>
        <v>1</v>
      </c>
    </row>
    <row r="279" spans="1:12" x14ac:dyDescent="0.3">
      <c r="A279" t="s">
        <v>292</v>
      </c>
      <c r="B279" t="s">
        <v>13</v>
      </c>
      <c r="C279">
        <v>6144063</v>
      </c>
      <c r="D279">
        <v>35785</v>
      </c>
      <c r="E279">
        <v>2698</v>
      </c>
      <c r="F279">
        <f t="shared" si="12"/>
        <v>171.69</v>
      </c>
      <c r="G279">
        <v>57258216</v>
      </c>
      <c r="H279">
        <v>3.1099999999999999E-2</v>
      </c>
      <c r="I279">
        <v>0.56000000000000005</v>
      </c>
      <c r="J279">
        <v>9.32</v>
      </c>
      <c r="K279" t="b">
        <f t="shared" si="13"/>
        <v>1</v>
      </c>
      <c r="L279" t="b">
        <f t="shared" si="14"/>
        <v>1</v>
      </c>
    </row>
    <row r="280" spans="1:12" x14ac:dyDescent="0.3">
      <c r="A280" t="s">
        <v>293</v>
      </c>
      <c r="B280" t="s">
        <v>13</v>
      </c>
      <c r="C280">
        <v>26824539</v>
      </c>
      <c r="D280">
        <v>15797</v>
      </c>
      <c r="E280">
        <v>792</v>
      </c>
      <c r="F280">
        <f t="shared" si="12"/>
        <v>1698.08</v>
      </c>
      <c r="G280">
        <v>57535657</v>
      </c>
      <c r="H280">
        <v>0.15790000000000001</v>
      </c>
      <c r="I280">
        <v>0.32</v>
      </c>
      <c r="J280">
        <v>2.14</v>
      </c>
      <c r="K280" t="b">
        <f t="shared" si="13"/>
        <v>1</v>
      </c>
      <c r="L280" t="b">
        <f t="shared" si="14"/>
        <v>1</v>
      </c>
    </row>
    <row r="281" spans="1:12" x14ac:dyDescent="0.3">
      <c r="A281" t="s">
        <v>294</v>
      </c>
      <c r="B281" t="s">
        <v>19</v>
      </c>
      <c r="C281">
        <v>22648323</v>
      </c>
      <c r="D281">
        <v>35497</v>
      </c>
      <c r="E281">
        <v>1135</v>
      </c>
      <c r="F281">
        <f t="shared" si="12"/>
        <v>638.03</v>
      </c>
      <c r="G281">
        <v>69888285</v>
      </c>
      <c r="H281">
        <v>1.9300000000000001E-2</v>
      </c>
      <c r="I281">
        <v>0.42</v>
      </c>
      <c r="J281">
        <v>3.09</v>
      </c>
      <c r="K281" t="b">
        <f t="shared" si="13"/>
        <v>1</v>
      </c>
      <c r="L281" t="b">
        <f t="shared" si="14"/>
        <v>1</v>
      </c>
    </row>
    <row r="282" spans="1:12" x14ac:dyDescent="0.3">
      <c r="A282" t="s">
        <v>295</v>
      </c>
      <c r="B282" t="s">
        <v>19</v>
      </c>
      <c r="C282">
        <v>23154915</v>
      </c>
      <c r="D282">
        <v>12386</v>
      </c>
      <c r="E282">
        <v>2871</v>
      </c>
      <c r="F282">
        <f t="shared" si="12"/>
        <v>1869.44</v>
      </c>
      <c r="G282">
        <v>14075750</v>
      </c>
      <c r="H282">
        <v>7.17E-2</v>
      </c>
      <c r="I282">
        <v>0.53</v>
      </c>
      <c r="J282">
        <v>0.61</v>
      </c>
      <c r="K282" t="b">
        <f t="shared" si="13"/>
        <v>1</v>
      </c>
      <c r="L282" t="b">
        <f t="shared" si="14"/>
        <v>1</v>
      </c>
    </row>
    <row r="283" spans="1:12" x14ac:dyDescent="0.3">
      <c r="A283" t="s">
        <v>296</v>
      </c>
      <c r="B283" t="s">
        <v>11</v>
      </c>
      <c r="C283">
        <v>20952373</v>
      </c>
      <c r="D283">
        <v>28647</v>
      </c>
      <c r="E283">
        <v>595</v>
      </c>
      <c r="F283">
        <f t="shared" si="12"/>
        <v>731.4</v>
      </c>
      <c r="G283">
        <v>58710270</v>
      </c>
      <c r="H283">
        <v>0.13869999999999999</v>
      </c>
      <c r="I283">
        <v>0.77</v>
      </c>
      <c r="J283">
        <v>2.8</v>
      </c>
      <c r="K283" t="b">
        <f t="shared" si="13"/>
        <v>1</v>
      </c>
      <c r="L283" t="b">
        <f t="shared" si="14"/>
        <v>1</v>
      </c>
    </row>
    <row r="284" spans="1:12" x14ac:dyDescent="0.3">
      <c r="A284" t="s">
        <v>297</v>
      </c>
      <c r="B284" t="s">
        <v>15</v>
      </c>
      <c r="C284">
        <v>23484627</v>
      </c>
      <c r="D284">
        <v>8516</v>
      </c>
      <c r="E284">
        <v>729</v>
      </c>
      <c r="F284">
        <f t="shared" si="12"/>
        <v>2757.71</v>
      </c>
      <c r="G284">
        <v>36576204</v>
      </c>
      <c r="H284">
        <v>0.16769999999999999</v>
      </c>
      <c r="I284">
        <v>0.34</v>
      </c>
      <c r="J284">
        <v>1.56</v>
      </c>
      <c r="K284" t="b">
        <f t="shared" si="13"/>
        <v>1</v>
      </c>
      <c r="L284" t="b">
        <f t="shared" si="14"/>
        <v>1</v>
      </c>
    </row>
    <row r="285" spans="1:12" x14ac:dyDescent="0.3">
      <c r="A285" t="s">
        <v>298</v>
      </c>
      <c r="B285" t="s">
        <v>15</v>
      </c>
      <c r="C285">
        <v>29074332</v>
      </c>
      <c r="D285">
        <v>16323</v>
      </c>
      <c r="E285">
        <v>2959</v>
      </c>
      <c r="F285">
        <f t="shared" si="12"/>
        <v>1781.19</v>
      </c>
      <c r="G285">
        <v>80507638</v>
      </c>
      <c r="H285">
        <v>0.1565</v>
      </c>
      <c r="I285">
        <v>0.42</v>
      </c>
      <c r="J285">
        <v>2.77</v>
      </c>
      <c r="K285" t="b">
        <f t="shared" si="13"/>
        <v>1</v>
      </c>
      <c r="L285" t="b">
        <f t="shared" si="14"/>
        <v>1</v>
      </c>
    </row>
    <row r="286" spans="1:12" x14ac:dyDescent="0.3">
      <c r="A286" t="s">
        <v>299</v>
      </c>
      <c r="B286" t="s">
        <v>11</v>
      </c>
      <c r="C286">
        <v>20764050</v>
      </c>
      <c r="D286">
        <v>34761</v>
      </c>
      <c r="E286">
        <v>1178</v>
      </c>
      <c r="F286">
        <f t="shared" si="12"/>
        <v>597.34</v>
      </c>
      <c r="G286">
        <v>91130531</v>
      </c>
      <c r="H286">
        <v>2.6200000000000001E-2</v>
      </c>
      <c r="I286">
        <v>0.7</v>
      </c>
      <c r="J286">
        <v>4.3899999999999997</v>
      </c>
      <c r="K286" t="b">
        <f t="shared" si="13"/>
        <v>1</v>
      </c>
      <c r="L286" t="b">
        <f t="shared" si="14"/>
        <v>1</v>
      </c>
    </row>
    <row r="287" spans="1:12" x14ac:dyDescent="0.3">
      <c r="A287" t="s">
        <v>300</v>
      </c>
      <c r="B287" t="s">
        <v>19</v>
      </c>
      <c r="C287">
        <v>18725084</v>
      </c>
      <c r="D287">
        <v>4350</v>
      </c>
      <c r="E287">
        <v>275</v>
      </c>
      <c r="F287">
        <f t="shared" si="12"/>
        <v>4304.62</v>
      </c>
      <c r="G287">
        <v>41424695</v>
      </c>
      <c r="H287">
        <v>9.2799999999999994E-2</v>
      </c>
      <c r="I287">
        <v>0.64</v>
      </c>
      <c r="J287">
        <v>2.21</v>
      </c>
      <c r="K287" t="b">
        <f t="shared" si="13"/>
        <v>1</v>
      </c>
      <c r="L287" t="b">
        <f t="shared" si="14"/>
        <v>1</v>
      </c>
    </row>
    <row r="288" spans="1:12" x14ac:dyDescent="0.3">
      <c r="A288" t="s">
        <v>301</v>
      </c>
      <c r="B288" t="s">
        <v>19</v>
      </c>
      <c r="C288">
        <v>13446391</v>
      </c>
      <c r="D288">
        <v>23349</v>
      </c>
      <c r="E288">
        <v>2715</v>
      </c>
      <c r="F288">
        <f t="shared" si="12"/>
        <v>575.89</v>
      </c>
      <c r="G288">
        <v>68373131</v>
      </c>
      <c r="H288">
        <v>1.2E-2</v>
      </c>
      <c r="I288">
        <v>0.6</v>
      </c>
      <c r="J288">
        <v>5.08</v>
      </c>
      <c r="K288" t="b">
        <f t="shared" si="13"/>
        <v>1</v>
      </c>
      <c r="L288" t="b">
        <f t="shared" si="14"/>
        <v>1</v>
      </c>
    </row>
    <row r="289" spans="1:12" x14ac:dyDescent="0.3">
      <c r="A289" t="s">
        <v>302</v>
      </c>
      <c r="B289" t="s">
        <v>13</v>
      </c>
      <c r="C289">
        <v>22483550</v>
      </c>
      <c r="D289">
        <v>11835</v>
      </c>
      <c r="E289">
        <v>1862</v>
      </c>
      <c r="F289">
        <f t="shared" si="12"/>
        <v>1899.75</v>
      </c>
      <c r="G289">
        <v>93578481</v>
      </c>
      <c r="H289">
        <v>0.16789999999999999</v>
      </c>
      <c r="I289">
        <v>0.22</v>
      </c>
      <c r="J289">
        <v>4.16</v>
      </c>
      <c r="K289" t="b">
        <f t="shared" si="13"/>
        <v>1</v>
      </c>
      <c r="L289" t="b">
        <f t="shared" si="14"/>
        <v>1</v>
      </c>
    </row>
    <row r="290" spans="1:12" x14ac:dyDescent="0.3">
      <c r="A290" t="s">
        <v>303</v>
      </c>
      <c r="B290" t="s">
        <v>15</v>
      </c>
      <c r="C290">
        <v>19799326</v>
      </c>
      <c r="D290">
        <v>44975</v>
      </c>
      <c r="E290">
        <v>1224</v>
      </c>
      <c r="F290">
        <f t="shared" si="12"/>
        <v>440.23</v>
      </c>
      <c r="G290">
        <v>19632044</v>
      </c>
      <c r="H290">
        <v>0.125</v>
      </c>
      <c r="I290">
        <v>0.21</v>
      </c>
      <c r="J290">
        <v>0.99</v>
      </c>
      <c r="K290" t="b">
        <f t="shared" si="13"/>
        <v>1</v>
      </c>
      <c r="L290" t="b">
        <f t="shared" si="14"/>
        <v>1</v>
      </c>
    </row>
    <row r="291" spans="1:12" x14ac:dyDescent="0.3">
      <c r="A291" t="s">
        <v>304</v>
      </c>
      <c r="B291" t="s">
        <v>17</v>
      </c>
      <c r="C291">
        <v>9597359</v>
      </c>
      <c r="D291">
        <v>34090</v>
      </c>
      <c r="E291">
        <v>2566</v>
      </c>
      <c r="F291">
        <f t="shared" si="12"/>
        <v>281.52999999999997</v>
      </c>
      <c r="G291">
        <v>35935626</v>
      </c>
      <c r="H291">
        <v>0.1313</v>
      </c>
      <c r="I291">
        <v>0.69</v>
      </c>
      <c r="J291">
        <v>3.74</v>
      </c>
      <c r="K291" t="b">
        <f t="shared" si="13"/>
        <v>1</v>
      </c>
      <c r="L291" t="b">
        <f t="shared" si="14"/>
        <v>1</v>
      </c>
    </row>
    <row r="292" spans="1:12" x14ac:dyDescent="0.3">
      <c r="A292" t="s">
        <v>305</v>
      </c>
      <c r="B292" t="s">
        <v>15</v>
      </c>
      <c r="C292">
        <v>26074079</v>
      </c>
      <c r="D292">
        <v>12710</v>
      </c>
      <c r="E292">
        <v>2119</v>
      </c>
      <c r="F292">
        <f t="shared" si="12"/>
        <v>2051.46</v>
      </c>
      <c r="G292">
        <v>84985128</v>
      </c>
      <c r="H292">
        <v>8.0299999999999996E-2</v>
      </c>
      <c r="I292">
        <v>0.6</v>
      </c>
      <c r="J292">
        <v>3.26</v>
      </c>
      <c r="K292" t="b">
        <f t="shared" si="13"/>
        <v>1</v>
      </c>
      <c r="L292" t="b">
        <f t="shared" si="14"/>
        <v>1</v>
      </c>
    </row>
    <row r="293" spans="1:12" x14ac:dyDescent="0.3">
      <c r="A293" t="s">
        <v>306</v>
      </c>
      <c r="B293" t="s">
        <v>17</v>
      </c>
      <c r="C293">
        <v>12086191</v>
      </c>
      <c r="D293">
        <v>33215</v>
      </c>
      <c r="E293">
        <v>697</v>
      </c>
      <c r="F293">
        <f t="shared" si="12"/>
        <v>363.88</v>
      </c>
      <c r="G293">
        <v>29073417</v>
      </c>
      <c r="H293">
        <v>0.14069999999999999</v>
      </c>
      <c r="I293">
        <v>0.41</v>
      </c>
      <c r="J293">
        <v>2.41</v>
      </c>
      <c r="K293" t="b">
        <f t="shared" si="13"/>
        <v>1</v>
      </c>
      <c r="L293" t="b">
        <f t="shared" si="14"/>
        <v>1</v>
      </c>
    </row>
    <row r="294" spans="1:12" x14ac:dyDescent="0.3">
      <c r="A294" t="s">
        <v>307</v>
      </c>
      <c r="B294" t="s">
        <v>13</v>
      </c>
      <c r="C294">
        <v>6100317</v>
      </c>
      <c r="D294">
        <v>43314</v>
      </c>
      <c r="E294">
        <v>836</v>
      </c>
      <c r="F294">
        <f t="shared" si="12"/>
        <v>140.84</v>
      </c>
      <c r="G294">
        <v>59051541</v>
      </c>
      <c r="H294">
        <v>0.15140000000000001</v>
      </c>
      <c r="I294">
        <v>0.26</v>
      </c>
      <c r="J294">
        <v>9.68</v>
      </c>
      <c r="K294" t="b">
        <f t="shared" si="13"/>
        <v>1</v>
      </c>
      <c r="L294" t="b">
        <f t="shared" si="14"/>
        <v>1</v>
      </c>
    </row>
    <row r="295" spans="1:12" x14ac:dyDescent="0.3">
      <c r="A295" t="s">
        <v>308</v>
      </c>
      <c r="B295" t="s">
        <v>13</v>
      </c>
      <c r="C295">
        <v>36989504</v>
      </c>
      <c r="D295">
        <v>32955</v>
      </c>
      <c r="E295">
        <v>1527</v>
      </c>
      <c r="F295">
        <f t="shared" si="12"/>
        <v>1122.42</v>
      </c>
      <c r="G295">
        <v>93869714</v>
      </c>
      <c r="H295">
        <v>8.0399999999999999E-2</v>
      </c>
      <c r="I295">
        <v>0.7</v>
      </c>
      <c r="J295">
        <v>2.54</v>
      </c>
      <c r="K295" t="b">
        <f t="shared" si="13"/>
        <v>1</v>
      </c>
      <c r="L295" t="b">
        <f t="shared" si="14"/>
        <v>1</v>
      </c>
    </row>
    <row r="296" spans="1:12" x14ac:dyDescent="0.3">
      <c r="A296" t="s">
        <v>309</v>
      </c>
      <c r="B296" t="s">
        <v>13</v>
      </c>
      <c r="C296">
        <v>40210632</v>
      </c>
      <c r="D296">
        <v>10013</v>
      </c>
      <c r="E296">
        <v>969</v>
      </c>
      <c r="F296">
        <f t="shared" si="12"/>
        <v>4015.84</v>
      </c>
      <c r="G296">
        <v>87956614</v>
      </c>
      <c r="H296">
        <v>0.13469999999999999</v>
      </c>
      <c r="I296">
        <v>0.45</v>
      </c>
      <c r="J296">
        <v>2.19</v>
      </c>
      <c r="K296" t="b">
        <f t="shared" si="13"/>
        <v>1</v>
      </c>
      <c r="L296" t="b">
        <f t="shared" si="14"/>
        <v>1</v>
      </c>
    </row>
    <row r="297" spans="1:12" x14ac:dyDescent="0.3">
      <c r="A297" t="s">
        <v>310</v>
      </c>
      <c r="B297" t="s">
        <v>15</v>
      </c>
      <c r="C297">
        <v>44217323</v>
      </c>
      <c r="D297">
        <v>26616</v>
      </c>
      <c r="E297">
        <v>2264</v>
      </c>
      <c r="F297">
        <f t="shared" si="12"/>
        <v>1661.31</v>
      </c>
      <c r="G297">
        <v>79509238</v>
      </c>
      <c r="H297">
        <v>7.2300000000000003E-2</v>
      </c>
      <c r="I297">
        <v>0.61</v>
      </c>
      <c r="J297">
        <v>1.8</v>
      </c>
      <c r="K297" t="b">
        <f t="shared" si="13"/>
        <v>1</v>
      </c>
      <c r="L297" t="b">
        <f t="shared" si="14"/>
        <v>1</v>
      </c>
    </row>
    <row r="298" spans="1:12" x14ac:dyDescent="0.3">
      <c r="A298" t="s">
        <v>311</v>
      </c>
      <c r="B298" t="s">
        <v>19</v>
      </c>
      <c r="C298">
        <v>21682463</v>
      </c>
      <c r="D298">
        <v>44476</v>
      </c>
      <c r="E298">
        <v>1721</v>
      </c>
      <c r="F298">
        <f t="shared" si="12"/>
        <v>487.51</v>
      </c>
      <c r="G298">
        <v>48536875</v>
      </c>
      <c r="H298">
        <v>0.06</v>
      </c>
      <c r="I298">
        <v>0.2</v>
      </c>
      <c r="J298">
        <v>2.2400000000000002</v>
      </c>
      <c r="K298" t="b">
        <f t="shared" si="13"/>
        <v>1</v>
      </c>
      <c r="L298" t="b">
        <f t="shared" si="14"/>
        <v>1</v>
      </c>
    </row>
    <row r="299" spans="1:12" x14ac:dyDescent="0.3">
      <c r="A299" t="s">
        <v>312</v>
      </c>
      <c r="B299" t="s">
        <v>11</v>
      </c>
      <c r="C299">
        <v>25442527</v>
      </c>
      <c r="D299">
        <v>42497</v>
      </c>
      <c r="E299">
        <v>648</v>
      </c>
      <c r="F299">
        <f t="shared" si="12"/>
        <v>598.69000000000005</v>
      </c>
      <c r="G299">
        <v>56620461</v>
      </c>
      <c r="H299">
        <v>0.1797</v>
      </c>
      <c r="I299">
        <v>0.72</v>
      </c>
      <c r="J299">
        <v>2.23</v>
      </c>
      <c r="K299" t="b">
        <f t="shared" si="13"/>
        <v>1</v>
      </c>
      <c r="L299" t="b">
        <f t="shared" si="14"/>
        <v>1</v>
      </c>
    </row>
    <row r="300" spans="1:12" x14ac:dyDescent="0.3">
      <c r="A300" t="s">
        <v>313</v>
      </c>
      <c r="B300" t="s">
        <v>11</v>
      </c>
      <c r="C300">
        <v>22686997</v>
      </c>
      <c r="D300">
        <v>8349</v>
      </c>
      <c r="E300">
        <v>1270</v>
      </c>
      <c r="F300">
        <f t="shared" si="12"/>
        <v>2717.33</v>
      </c>
      <c r="G300">
        <v>55616984</v>
      </c>
      <c r="H300">
        <v>0.1938</v>
      </c>
      <c r="I300">
        <v>0.47</v>
      </c>
      <c r="J300">
        <v>2.4500000000000002</v>
      </c>
      <c r="K300" t="b">
        <f t="shared" si="13"/>
        <v>1</v>
      </c>
      <c r="L300" t="b">
        <f t="shared" si="14"/>
        <v>1</v>
      </c>
    </row>
    <row r="301" spans="1:12" x14ac:dyDescent="0.3">
      <c r="A301" t="s">
        <v>314</v>
      </c>
      <c r="B301" t="s">
        <v>17</v>
      </c>
      <c r="C301">
        <v>27843362</v>
      </c>
      <c r="D301">
        <v>43889</v>
      </c>
      <c r="E301">
        <v>842</v>
      </c>
      <c r="F301">
        <f t="shared" si="12"/>
        <v>634.4</v>
      </c>
      <c r="G301">
        <v>25492648</v>
      </c>
      <c r="H301">
        <v>3.1199999999999999E-2</v>
      </c>
      <c r="I301">
        <v>0.24</v>
      </c>
      <c r="J301">
        <v>0.92</v>
      </c>
      <c r="K301" t="b">
        <f t="shared" si="13"/>
        <v>1</v>
      </c>
      <c r="L301" t="b">
        <f t="shared" si="14"/>
        <v>1</v>
      </c>
    </row>
    <row r="302" spans="1:12" x14ac:dyDescent="0.3">
      <c r="A302" t="s">
        <v>315</v>
      </c>
      <c r="B302" t="s">
        <v>11</v>
      </c>
      <c r="C302">
        <v>15237731</v>
      </c>
      <c r="D302">
        <v>36087</v>
      </c>
      <c r="E302">
        <v>1148</v>
      </c>
      <c r="F302">
        <f t="shared" si="12"/>
        <v>422.25</v>
      </c>
      <c r="G302">
        <v>60497318</v>
      </c>
      <c r="H302">
        <v>0.10249999999999999</v>
      </c>
      <c r="I302">
        <v>0.64</v>
      </c>
      <c r="J302">
        <v>3.97</v>
      </c>
      <c r="K302" t="b">
        <f t="shared" si="13"/>
        <v>1</v>
      </c>
      <c r="L302" t="b">
        <f t="shared" si="14"/>
        <v>1</v>
      </c>
    </row>
    <row r="303" spans="1:12" x14ac:dyDescent="0.3">
      <c r="A303" t="s">
        <v>316</v>
      </c>
      <c r="B303" t="s">
        <v>17</v>
      </c>
      <c r="C303">
        <v>23211265</v>
      </c>
      <c r="D303">
        <v>11406</v>
      </c>
      <c r="E303">
        <v>1886</v>
      </c>
      <c r="F303">
        <f t="shared" si="12"/>
        <v>2035</v>
      </c>
      <c r="G303">
        <v>81618946</v>
      </c>
      <c r="H303">
        <v>1.67E-2</v>
      </c>
      <c r="I303">
        <v>0.69</v>
      </c>
      <c r="J303">
        <v>3.52</v>
      </c>
      <c r="K303" t="b">
        <f t="shared" si="13"/>
        <v>1</v>
      </c>
      <c r="L303" t="b">
        <f t="shared" si="14"/>
        <v>1</v>
      </c>
    </row>
    <row r="304" spans="1:12" x14ac:dyDescent="0.3">
      <c r="A304" t="s">
        <v>317</v>
      </c>
      <c r="B304" t="s">
        <v>13</v>
      </c>
      <c r="C304">
        <v>16697303</v>
      </c>
      <c r="D304">
        <v>15187</v>
      </c>
      <c r="E304">
        <v>1749</v>
      </c>
      <c r="F304">
        <f t="shared" si="12"/>
        <v>1099.45</v>
      </c>
      <c r="G304">
        <v>60524861</v>
      </c>
      <c r="H304">
        <v>6.2899999999999998E-2</v>
      </c>
      <c r="I304">
        <v>0.53</v>
      </c>
      <c r="J304">
        <v>3.62</v>
      </c>
      <c r="K304" t="b">
        <f t="shared" si="13"/>
        <v>1</v>
      </c>
      <c r="L304" t="b">
        <f t="shared" si="14"/>
        <v>1</v>
      </c>
    </row>
    <row r="305" spans="1:12" x14ac:dyDescent="0.3">
      <c r="A305" t="s">
        <v>318</v>
      </c>
      <c r="B305" t="s">
        <v>15</v>
      </c>
      <c r="C305">
        <v>32404879</v>
      </c>
      <c r="D305">
        <v>29161</v>
      </c>
      <c r="E305">
        <v>2388</v>
      </c>
      <c r="F305">
        <f t="shared" si="12"/>
        <v>1111.24</v>
      </c>
      <c r="G305">
        <v>78349482</v>
      </c>
      <c r="H305">
        <v>6.3500000000000001E-2</v>
      </c>
      <c r="I305">
        <v>0.77</v>
      </c>
      <c r="J305">
        <v>2.42</v>
      </c>
      <c r="K305" t="b">
        <f t="shared" si="13"/>
        <v>1</v>
      </c>
      <c r="L305" t="b">
        <f t="shared" si="14"/>
        <v>1</v>
      </c>
    </row>
    <row r="306" spans="1:12" x14ac:dyDescent="0.3">
      <c r="A306" t="s">
        <v>319</v>
      </c>
      <c r="B306" t="s">
        <v>17</v>
      </c>
      <c r="C306">
        <v>16700830</v>
      </c>
      <c r="D306">
        <v>16887</v>
      </c>
      <c r="E306">
        <v>937</v>
      </c>
      <c r="F306">
        <f t="shared" si="12"/>
        <v>988.98</v>
      </c>
      <c r="G306">
        <v>47269972</v>
      </c>
      <c r="H306">
        <v>0.18840000000000001</v>
      </c>
      <c r="I306">
        <v>0.23</v>
      </c>
      <c r="J306">
        <v>2.83</v>
      </c>
      <c r="K306" t="b">
        <f t="shared" si="13"/>
        <v>1</v>
      </c>
      <c r="L306" t="b">
        <f t="shared" si="14"/>
        <v>1</v>
      </c>
    </row>
    <row r="307" spans="1:12" x14ac:dyDescent="0.3">
      <c r="A307" t="s">
        <v>320</v>
      </c>
      <c r="B307" t="s">
        <v>17</v>
      </c>
      <c r="C307">
        <v>5974445</v>
      </c>
      <c r="D307">
        <v>49906</v>
      </c>
      <c r="E307">
        <v>1373</v>
      </c>
      <c r="F307">
        <f t="shared" si="12"/>
        <v>119.71</v>
      </c>
      <c r="G307">
        <v>32070098</v>
      </c>
      <c r="H307">
        <v>6.4100000000000004E-2</v>
      </c>
      <c r="I307">
        <v>0.68</v>
      </c>
      <c r="J307">
        <v>5.37</v>
      </c>
      <c r="K307" t="b">
        <f t="shared" si="13"/>
        <v>1</v>
      </c>
      <c r="L307" t="b">
        <f t="shared" si="14"/>
        <v>1</v>
      </c>
    </row>
    <row r="308" spans="1:12" x14ac:dyDescent="0.3">
      <c r="A308" t="s">
        <v>321</v>
      </c>
      <c r="B308" t="s">
        <v>11</v>
      </c>
      <c r="C308">
        <v>49009450</v>
      </c>
      <c r="D308">
        <v>26353</v>
      </c>
      <c r="E308">
        <v>1630</v>
      </c>
      <c r="F308">
        <f t="shared" si="12"/>
        <v>1859.73</v>
      </c>
      <c r="G308">
        <v>90188436</v>
      </c>
      <c r="H308">
        <v>0.1129</v>
      </c>
      <c r="I308">
        <v>0.52</v>
      </c>
      <c r="J308">
        <v>1.84</v>
      </c>
      <c r="K308" t="b">
        <f t="shared" si="13"/>
        <v>1</v>
      </c>
      <c r="L308" t="b">
        <f t="shared" si="14"/>
        <v>1</v>
      </c>
    </row>
    <row r="309" spans="1:12" x14ac:dyDescent="0.3">
      <c r="A309" t="s">
        <v>322</v>
      </c>
      <c r="B309" t="s">
        <v>17</v>
      </c>
      <c r="C309">
        <v>34630644</v>
      </c>
      <c r="D309">
        <v>47685</v>
      </c>
      <c r="E309">
        <v>1701</v>
      </c>
      <c r="F309">
        <f t="shared" si="12"/>
        <v>726.24</v>
      </c>
      <c r="G309">
        <v>82278429</v>
      </c>
      <c r="H309">
        <v>5.3499999999999999E-2</v>
      </c>
      <c r="I309">
        <v>0.24</v>
      </c>
      <c r="J309">
        <v>2.38</v>
      </c>
      <c r="K309" t="b">
        <f t="shared" si="13"/>
        <v>1</v>
      </c>
      <c r="L309" t="b">
        <f t="shared" si="14"/>
        <v>1</v>
      </c>
    </row>
    <row r="310" spans="1:12" x14ac:dyDescent="0.3">
      <c r="A310" t="s">
        <v>323</v>
      </c>
      <c r="B310" t="s">
        <v>13</v>
      </c>
      <c r="C310">
        <v>29467143</v>
      </c>
      <c r="D310">
        <v>42136</v>
      </c>
      <c r="E310">
        <v>802</v>
      </c>
      <c r="F310">
        <f t="shared" si="12"/>
        <v>699.33</v>
      </c>
      <c r="G310">
        <v>80029464</v>
      </c>
      <c r="H310">
        <v>5.33E-2</v>
      </c>
      <c r="I310">
        <v>0.36</v>
      </c>
      <c r="J310">
        <v>2.72</v>
      </c>
      <c r="K310" t="b">
        <f t="shared" si="13"/>
        <v>1</v>
      </c>
      <c r="L310" t="b">
        <f t="shared" si="14"/>
        <v>1</v>
      </c>
    </row>
    <row r="311" spans="1:12" x14ac:dyDescent="0.3">
      <c r="A311" t="s">
        <v>324</v>
      </c>
      <c r="B311" t="s">
        <v>17</v>
      </c>
      <c r="C311">
        <v>47320933</v>
      </c>
      <c r="D311">
        <v>26799</v>
      </c>
      <c r="E311">
        <v>1583</v>
      </c>
      <c r="F311">
        <f t="shared" si="12"/>
        <v>1765.77</v>
      </c>
      <c r="G311">
        <v>17650339</v>
      </c>
      <c r="H311">
        <v>3.1300000000000001E-2</v>
      </c>
      <c r="I311">
        <v>0.34</v>
      </c>
      <c r="J311">
        <v>0.37</v>
      </c>
      <c r="K311" t="b">
        <f t="shared" si="13"/>
        <v>1</v>
      </c>
      <c r="L311" t="b">
        <f t="shared" si="14"/>
        <v>1</v>
      </c>
    </row>
    <row r="312" spans="1:12" x14ac:dyDescent="0.3">
      <c r="A312" t="s">
        <v>325</v>
      </c>
      <c r="B312" t="s">
        <v>11</v>
      </c>
      <c r="C312">
        <v>26051380</v>
      </c>
      <c r="D312">
        <v>20471</v>
      </c>
      <c r="E312">
        <v>2668</v>
      </c>
      <c r="F312">
        <f t="shared" ref="F312:F375" si="15">IF(D312 = 0,FALSE,ROUND(C312/D312,2))</f>
        <v>1272.5999999999999</v>
      </c>
      <c r="G312">
        <v>75986300</v>
      </c>
      <c r="H312">
        <v>2.9499999999999998E-2</v>
      </c>
      <c r="I312">
        <v>0.22</v>
      </c>
      <c r="J312">
        <v>2.92</v>
      </c>
      <c r="K312" t="b">
        <f t="shared" ref="K312:K375" si="16" xml:space="preserve"> IF(E312&gt;D312,FALSE,TRUE)</f>
        <v>1</v>
      </c>
      <c r="L312" t="b">
        <f t="shared" si="14"/>
        <v>1</v>
      </c>
    </row>
    <row r="313" spans="1:12" x14ac:dyDescent="0.3">
      <c r="A313" t="s">
        <v>326</v>
      </c>
      <c r="B313" t="s">
        <v>19</v>
      </c>
      <c r="C313">
        <v>11235868</v>
      </c>
      <c r="D313">
        <v>46824</v>
      </c>
      <c r="E313">
        <v>1291</v>
      </c>
      <c r="F313">
        <f t="shared" si="15"/>
        <v>239.96</v>
      </c>
      <c r="G313">
        <v>83701946</v>
      </c>
      <c r="H313">
        <v>0.156</v>
      </c>
      <c r="I313">
        <v>0.35</v>
      </c>
      <c r="J313">
        <v>7.45</v>
      </c>
      <c r="K313" t="b">
        <f t="shared" si="16"/>
        <v>1</v>
      </c>
      <c r="L313" t="b">
        <f t="shared" si="14"/>
        <v>1</v>
      </c>
    </row>
    <row r="314" spans="1:12" x14ac:dyDescent="0.3">
      <c r="A314" t="s">
        <v>327</v>
      </c>
      <c r="B314" t="s">
        <v>19</v>
      </c>
      <c r="C314">
        <v>34758212</v>
      </c>
      <c r="D314">
        <v>46019</v>
      </c>
      <c r="E314">
        <v>2951</v>
      </c>
      <c r="F314">
        <f t="shared" si="15"/>
        <v>755.3</v>
      </c>
      <c r="G314">
        <v>57807202</v>
      </c>
      <c r="H314">
        <v>0.16259999999999999</v>
      </c>
      <c r="I314">
        <v>0.26</v>
      </c>
      <c r="J314">
        <v>1.66</v>
      </c>
      <c r="K314" t="b">
        <f t="shared" si="16"/>
        <v>1</v>
      </c>
      <c r="L314" t="b">
        <f t="shared" si="14"/>
        <v>1</v>
      </c>
    </row>
    <row r="315" spans="1:12" x14ac:dyDescent="0.3">
      <c r="A315" t="s">
        <v>328</v>
      </c>
      <c r="B315" t="s">
        <v>15</v>
      </c>
      <c r="C315">
        <v>24608529</v>
      </c>
      <c r="D315">
        <v>21384</v>
      </c>
      <c r="E315">
        <v>2217</v>
      </c>
      <c r="F315">
        <f t="shared" si="15"/>
        <v>1150.79</v>
      </c>
      <c r="G315">
        <v>34808520</v>
      </c>
      <c r="H315">
        <v>3.3799999999999997E-2</v>
      </c>
      <c r="I315">
        <v>0.62</v>
      </c>
      <c r="J315">
        <v>1.41</v>
      </c>
      <c r="K315" t="b">
        <f t="shared" si="16"/>
        <v>1</v>
      </c>
      <c r="L315" t="b">
        <f t="shared" ref="L315:L378" si="17">IF(E315/D315*100&gt;50,FALSE,TRUE)</f>
        <v>1</v>
      </c>
    </row>
    <row r="316" spans="1:12" x14ac:dyDescent="0.3">
      <c r="A316" t="s">
        <v>329</v>
      </c>
      <c r="B316" t="s">
        <v>13</v>
      </c>
      <c r="C316">
        <v>34752708</v>
      </c>
      <c r="D316">
        <v>35308</v>
      </c>
      <c r="E316">
        <v>2622</v>
      </c>
      <c r="F316">
        <f t="shared" si="15"/>
        <v>984.27</v>
      </c>
      <c r="G316">
        <v>28030076</v>
      </c>
      <c r="H316">
        <v>5.2400000000000002E-2</v>
      </c>
      <c r="I316">
        <v>0.41</v>
      </c>
      <c r="J316">
        <v>0.81</v>
      </c>
      <c r="K316" t="b">
        <f t="shared" si="16"/>
        <v>1</v>
      </c>
      <c r="L316" t="b">
        <f t="shared" si="17"/>
        <v>1</v>
      </c>
    </row>
    <row r="317" spans="1:12" x14ac:dyDescent="0.3">
      <c r="A317" t="s">
        <v>330</v>
      </c>
      <c r="B317" t="s">
        <v>15</v>
      </c>
      <c r="C317">
        <v>29916927</v>
      </c>
      <c r="D317">
        <v>22780</v>
      </c>
      <c r="E317">
        <v>511</v>
      </c>
      <c r="F317">
        <f t="shared" si="15"/>
        <v>1313.3</v>
      </c>
      <c r="G317">
        <v>97907323</v>
      </c>
      <c r="H317">
        <v>3.5799999999999998E-2</v>
      </c>
      <c r="I317">
        <v>0.52</v>
      </c>
      <c r="J317">
        <v>3.27</v>
      </c>
      <c r="K317" t="b">
        <f t="shared" si="16"/>
        <v>1</v>
      </c>
      <c r="L317" t="b">
        <f t="shared" si="17"/>
        <v>1</v>
      </c>
    </row>
    <row r="318" spans="1:12" x14ac:dyDescent="0.3">
      <c r="A318" t="s">
        <v>331</v>
      </c>
      <c r="B318" t="s">
        <v>13</v>
      </c>
      <c r="C318">
        <v>39215038</v>
      </c>
      <c r="D318">
        <v>15266</v>
      </c>
      <c r="E318">
        <v>1908</v>
      </c>
      <c r="F318">
        <f t="shared" si="15"/>
        <v>2568.7800000000002</v>
      </c>
      <c r="G318">
        <v>18706684</v>
      </c>
      <c r="H318">
        <v>2.41E-2</v>
      </c>
      <c r="I318">
        <v>0.63</v>
      </c>
      <c r="J318">
        <v>0.48</v>
      </c>
      <c r="K318" t="b">
        <f t="shared" si="16"/>
        <v>1</v>
      </c>
      <c r="L318" t="b">
        <f t="shared" si="17"/>
        <v>1</v>
      </c>
    </row>
    <row r="319" spans="1:12" x14ac:dyDescent="0.3">
      <c r="A319" t="s">
        <v>332</v>
      </c>
      <c r="B319" t="s">
        <v>15</v>
      </c>
      <c r="C319">
        <v>22281002</v>
      </c>
      <c r="D319">
        <v>33497</v>
      </c>
      <c r="E319">
        <v>890</v>
      </c>
      <c r="F319">
        <f t="shared" si="15"/>
        <v>665.16</v>
      </c>
      <c r="G319">
        <v>55271883</v>
      </c>
      <c r="H319">
        <v>0.17749999999999999</v>
      </c>
      <c r="I319">
        <v>0.5</v>
      </c>
      <c r="J319">
        <v>2.48</v>
      </c>
      <c r="K319" t="b">
        <f t="shared" si="16"/>
        <v>1</v>
      </c>
      <c r="L319" t="b">
        <f t="shared" si="17"/>
        <v>1</v>
      </c>
    </row>
    <row r="320" spans="1:12" x14ac:dyDescent="0.3">
      <c r="A320" t="s">
        <v>333</v>
      </c>
      <c r="B320" t="s">
        <v>11</v>
      </c>
      <c r="C320">
        <v>40698009</v>
      </c>
      <c r="D320">
        <v>48972</v>
      </c>
      <c r="E320">
        <v>228</v>
      </c>
      <c r="F320">
        <f t="shared" si="15"/>
        <v>831.05</v>
      </c>
      <c r="G320">
        <v>53454185</v>
      </c>
      <c r="H320">
        <v>2.63E-2</v>
      </c>
      <c r="I320">
        <v>0.31</v>
      </c>
      <c r="J320">
        <v>1.31</v>
      </c>
      <c r="K320" t="b">
        <f t="shared" si="16"/>
        <v>1</v>
      </c>
      <c r="L320" t="b">
        <f t="shared" si="17"/>
        <v>1</v>
      </c>
    </row>
    <row r="321" spans="1:12" x14ac:dyDescent="0.3">
      <c r="A321" t="s">
        <v>334</v>
      </c>
      <c r="B321" t="s">
        <v>17</v>
      </c>
      <c r="C321">
        <v>7461696</v>
      </c>
      <c r="D321">
        <v>30721</v>
      </c>
      <c r="E321">
        <v>2091</v>
      </c>
      <c r="F321">
        <f t="shared" si="15"/>
        <v>242.89</v>
      </c>
      <c r="G321">
        <v>35128499</v>
      </c>
      <c r="H321">
        <v>0.1759</v>
      </c>
      <c r="I321">
        <v>0.33</v>
      </c>
      <c r="J321">
        <v>4.71</v>
      </c>
      <c r="K321" t="b">
        <f t="shared" si="16"/>
        <v>1</v>
      </c>
      <c r="L321" t="b">
        <f t="shared" si="17"/>
        <v>1</v>
      </c>
    </row>
    <row r="322" spans="1:12" x14ac:dyDescent="0.3">
      <c r="A322" t="s">
        <v>335</v>
      </c>
      <c r="B322" t="s">
        <v>15</v>
      </c>
      <c r="C322">
        <v>7444102</v>
      </c>
      <c r="D322">
        <v>27965</v>
      </c>
      <c r="E322">
        <v>2644</v>
      </c>
      <c r="F322">
        <f t="shared" si="15"/>
        <v>266.19</v>
      </c>
      <c r="G322">
        <v>67698401</v>
      </c>
      <c r="H322">
        <v>5.7000000000000002E-2</v>
      </c>
      <c r="I322">
        <v>0.23</v>
      </c>
      <c r="J322">
        <v>9.09</v>
      </c>
      <c r="K322" t="b">
        <f t="shared" si="16"/>
        <v>1</v>
      </c>
      <c r="L322" t="b">
        <f t="shared" si="17"/>
        <v>1</v>
      </c>
    </row>
    <row r="323" spans="1:12" x14ac:dyDescent="0.3">
      <c r="A323" t="s">
        <v>336</v>
      </c>
      <c r="B323" t="s">
        <v>13</v>
      </c>
      <c r="C323">
        <v>19101058</v>
      </c>
      <c r="D323">
        <v>6186</v>
      </c>
      <c r="E323">
        <v>2158</v>
      </c>
      <c r="F323">
        <f t="shared" si="15"/>
        <v>3087.79</v>
      </c>
      <c r="G323">
        <v>68241612</v>
      </c>
      <c r="H323">
        <v>0.14649999999999999</v>
      </c>
      <c r="I323">
        <v>0.21</v>
      </c>
      <c r="J323">
        <v>3.57</v>
      </c>
      <c r="K323" t="b">
        <f t="shared" si="16"/>
        <v>1</v>
      </c>
      <c r="L323" t="b">
        <f t="shared" si="17"/>
        <v>1</v>
      </c>
    </row>
    <row r="324" spans="1:12" x14ac:dyDescent="0.3">
      <c r="A324" t="s">
        <v>337</v>
      </c>
      <c r="B324" t="s">
        <v>13</v>
      </c>
      <c r="C324">
        <v>28735500</v>
      </c>
      <c r="D324">
        <v>13536</v>
      </c>
      <c r="E324">
        <v>2467</v>
      </c>
      <c r="F324">
        <f t="shared" si="15"/>
        <v>2122.89</v>
      </c>
      <c r="G324">
        <v>22797298</v>
      </c>
      <c r="H324">
        <v>0.16209999999999999</v>
      </c>
      <c r="I324">
        <v>0.48</v>
      </c>
      <c r="J324">
        <v>0.79</v>
      </c>
      <c r="K324" t="b">
        <f t="shared" si="16"/>
        <v>1</v>
      </c>
      <c r="L324" t="b">
        <f t="shared" si="17"/>
        <v>1</v>
      </c>
    </row>
    <row r="325" spans="1:12" x14ac:dyDescent="0.3">
      <c r="A325" t="s">
        <v>338</v>
      </c>
      <c r="B325" t="s">
        <v>13</v>
      </c>
      <c r="C325">
        <v>33392710</v>
      </c>
      <c r="D325">
        <v>34910</v>
      </c>
      <c r="E325">
        <v>1126</v>
      </c>
      <c r="F325">
        <f t="shared" si="15"/>
        <v>956.54</v>
      </c>
      <c r="G325">
        <v>97968936</v>
      </c>
      <c r="H325">
        <v>0.12509999999999999</v>
      </c>
      <c r="I325">
        <v>0.47</v>
      </c>
      <c r="J325">
        <v>2.93</v>
      </c>
      <c r="K325" t="b">
        <f t="shared" si="16"/>
        <v>1</v>
      </c>
      <c r="L325" t="b">
        <f t="shared" si="17"/>
        <v>1</v>
      </c>
    </row>
    <row r="326" spans="1:12" x14ac:dyDescent="0.3">
      <c r="A326" t="s">
        <v>339</v>
      </c>
      <c r="B326" t="s">
        <v>11</v>
      </c>
      <c r="C326">
        <v>22431593</v>
      </c>
      <c r="D326">
        <v>48433</v>
      </c>
      <c r="E326">
        <v>990</v>
      </c>
      <c r="F326">
        <f t="shared" si="15"/>
        <v>463.15</v>
      </c>
      <c r="G326">
        <v>79764413</v>
      </c>
      <c r="H326">
        <v>6.0199999999999997E-2</v>
      </c>
      <c r="I326">
        <v>0.67</v>
      </c>
      <c r="J326">
        <v>3.56</v>
      </c>
      <c r="K326" t="b">
        <f t="shared" si="16"/>
        <v>1</v>
      </c>
      <c r="L326" t="b">
        <f t="shared" si="17"/>
        <v>1</v>
      </c>
    </row>
    <row r="327" spans="1:12" x14ac:dyDescent="0.3">
      <c r="A327" t="s">
        <v>340</v>
      </c>
      <c r="B327" t="s">
        <v>13</v>
      </c>
      <c r="C327">
        <v>11046461</v>
      </c>
      <c r="D327">
        <v>24996</v>
      </c>
      <c r="E327">
        <v>2962</v>
      </c>
      <c r="F327">
        <f t="shared" si="15"/>
        <v>441.93</v>
      </c>
      <c r="G327">
        <v>57093356</v>
      </c>
      <c r="H327">
        <v>0.12039999999999999</v>
      </c>
      <c r="I327">
        <v>0.4</v>
      </c>
      <c r="J327">
        <v>5.17</v>
      </c>
      <c r="K327" t="b">
        <f t="shared" si="16"/>
        <v>1</v>
      </c>
      <c r="L327" t="b">
        <f t="shared" si="17"/>
        <v>1</v>
      </c>
    </row>
    <row r="328" spans="1:12" x14ac:dyDescent="0.3">
      <c r="A328" t="s">
        <v>341</v>
      </c>
      <c r="B328" t="s">
        <v>17</v>
      </c>
      <c r="C328">
        <v>41093146</v>
      </c>
      <c r="D328">
        <v>26705</v>
      </c>
      <c r="E328">
        <v>1007</v>
      </c>
      <c r="F328">
        <f t="shared" si="15"/>
        <v>1538.78</v>
      </c>
      <c r="G328">
        <v>92074287</v>
      </c>
      <c r="H328">
        <v>0.1961</v>
      </c>
      <c r="I328">
        <v>0.4</v>
      </c>
      <c r="J328">
        <v>2.2400000000000002</v>
      </c>
      <c r="K328" t="b">
        <f t="shared" si="16"/>
        <v>1</v>
      </c>
      <c r="L328" t="b">
        <f t="shared" si="17"/>
        <v>1</v>
      </c>
    </row>
    <row r="329" spans="1:12" x14ac:dyDescent="0.3">
      <c r="A329" t="s">
        <v>342</v>
      </c>
      <c r="B329" t="s">
        <v>17</v>
      </c>
      <c r="C329">
        <v>32582653</v>
      </c>
      <c r="D329">
        <v>46174</v>
      </c>
      <c r="E329">
        <v>1890</v>
      </c>
      <c r="F329">
        <f t="shared" si="15"/>
        <v>705.65</v>
      </c>
      <c r="G329">
        <v>18431237</v>
      </c>
      <c r="H329">
        <v>5.8799999999999998E-2</v>
      </c>
      <c r="I329">
        <v>0.41</v>
      </c>
      <c r="J329">
        <v>0.56999999999999995</v>
      </c>
      <c r="K329" t="b">
        <f t="shared" si="16"/>
        <v>1</v>
      </c>
      <c r="L329" t="b">
        <f t="shared" si="17"/>
        <v>1</v>
      </c>
    </row>
    <row r="330" spans="1:12" x14ac:dyDescent="0.3">
      <c r="A330" t="s">
        <v>343</v>
      </c>
      <c r="B330" t="s">
        <v>15</v>
      </c>
      <c r="C330">
        <v>40643670</v>
      </c>
      <c r="D330">
        <v>37859</v>
      </c>
      <c r="E330">
        <v>1506</v>
      </c>
      <c r="F330">
        <f t="shared" si="15"/>
        <v>1073.55</v>
      </c>
      <c r="G330">
        <v>92328569</v>
      </c>
      <c r="H330">
        <v>3.85E-2</v>
      </c>
      <c r="I330">
        <v>0.27</v>
      </c>
      <c r="J330">
        <v>2.27</v>
      </c>
      <c r="K330" t="b">
        <f t="shared" si="16"/>
        <v>1</v>
      </c>
      <c r="L330" t="b">
        <f t="shared" si="17"/>
        <v>1</v>
      </c>
    </row>
    <row r="331" spans="1:12" x14ac:dyDescent="0.3">
      <c r="A331" t="s">
        <v>344</v>
      </c>
      <c r="B331" t="s">
        <v>17</v>
      </c>
      <c r="C331">
        <v>45780946</v>
      </c>
      <c r="D331">
        <v>9511</v>
      </c>
      <c r="E331">
        <v>1584</v>
      </c>
      <c r="F331">
        <f t="shared" si="15"/>
        <v>4813.47</v>
      </c>
      <c r="G331">
        <v>81675780</v>
      </c>
      <c r="H331">
        <v>0.19409999999999999</v>
      </c>
      <c r="I331">
        <v>0.46</v>
      </c>
      <c r="J331">
        <v>1.78</v>
      </c>
      <c r="K331" t="b">
        <f t="shared" si="16"/>
        <v>1</v>
      </c>
      <c r="L331" t="b">
        <f t="shared" si="17"/>
        <v>1</v>
      </c>
    </row>
    <row r="332" spans="1:12" x14ac:dyDescent="0.3">
      <c r="A332" t="s">
        <v>345</v>
      </c>
      <c r="B332" t="s">
        <v>17</v>
      </c>
      <c r="C332">
        <v>15684792</v>
      </c>
      <c r="D332">
        <v>41466</v>
      </c>
      <c r="E332">
        <v>2825</v>
      </c>
      <c r="F332">
        <f t="shared" si="15"/>
        <v>378.26</v>
      </c>
      <c r="G332">
        <v>26004235</v>
      </c>
      <c r="H332">
        <v>0.18310000000000001</v>
      </c>
      <c r="I332">
        <v>0.59</v>
      </c>
      <c r="J332">
        <v>1.66</v>
      </c>
      <c r="K332" t="b">
        <f t="shared" si="16"/>
        <v>1</v>
      </c>
      <c r="L332" t="b">
        <f t="shared" si="17"/>
        <v>1</v>
      </c>
    </row>
    <row r="333" spans="1:12" x14ac:dyDescent="0.3">
      <c r="A333" t="s">
        <v>346</v>
      </c>
      <c r="B333" t="s">
        <v>17</v>
      </c>
      <c r="C333">
        <v>45009485</v>
      </c>
      <c r="D333">
        <v>9986</v>
      </c>
      <c r="E333">
        <v>448</v>
      </c>
      <c r="F333">
        <f t="shared" si="15"/>
        <v>4507.26</v>
      </c>
      <c r="G333">
        <v>81579028</v>
      </c>
      <c r="H333">
        <v>9.0499999999999997E-2</v>
      </c>
      <c r="I333">
        <v>0.54</v>
      </c>
      <c r="J333">
        <v>1.81</v>
      </c>
      <c r="K333" t="b">
        <f t="shared" si="16"/>
        <v>1</v>
      </c>
      <c r="L333" t="b">
        <f t="shared" si="17"/>
        <v>1</v>
      </c>
    </row>
    <row r="334" spans="1:12" x14ac:dyDescent="0.3">
      <c r="A334" t="s">
        <v>347</v>
      </c>
      <c r="B334" t="s">
        <v>19</v>
      </c>
      <c r="C334">
        <v>46490006</v>
      </c>
      <c r="D334">
        <v>9046</v>
      </c>
      <c r="E334">
        <v>2614</v>
      </c>
      <c r="F334">
        <f t="shared" si="15"/>
        <v>5139.29</v>
      </c>
      <c r="G334">
        <v>55105207</v>
      </c>
      <c r="H334">
        <v>0.16930000000000001</v>
      </c>
      <c r="I334">
        <v>0.73</v>
      </c>
      <c r="J334">
        <v>1.19</v>
      </c>
      <c r="K334" t="b">
        <f t="shared" si="16"/>
        <v>1</v>
      </c>
      <c r="L334" t="b">
        <f t="shared" si="17"/>
        <v>1</v>
      </c>
    </row>
    <row r="335" spans="1:12" x14ac:dyDescent="0.3">
      <c r="A335" t="s">
        <v>348</v>
      </c>
      <c r="B335" t="s">
        <v>19</v>
      </c>
      <c r="C335">
        <v>6149013</v>
      </c>
      <c r="D335">
        <v>14784</v>
      </c>
      <c r="E335">
        <v>1829</v>
      </c>
      <c r="F335">
        <f t="shared" si="15"/>
        <v>415.92</v>
      </c>
      <c r="G335">
        <v>99997875</v>
      </c>
      <c r="H335">
        <v>0.12839999999999999</v>
      </c>
      <c r="I335">
        <v>0.52</v>
      </c>
      <c r="J335">
        <v>16.260000000000002</v>
      </c>
      <c r="K335" t="b">
        <f t="shared" si="16"/>
        <v>1</v>
      </c>
      <c r="L335" t="b">
        <f t="shared" si="17"/>
        <v>1</v>
      </c>
    </row>
    <row r="336" spans="1:12" x14ac:dyDescent="0.3">
      <c r="A336" t="s">
        <v>349</v>
      </c>
      <c r="B336" t="s">
        <v>11</v>
      </c>
      <c r="C336">
        <v>29181238</v>
      </c>
      <c r="D336">
        <v>24128</v>
      </c>
      <c r="E336">
        <v>761</v>
      </c>
      <c r="F336">
        <f t="shared" si="15"/>
        <v>1209.43</v>
      </c>
      <c r="G336">
        <v>84643075</v>
      </c>
      <c r="H336">
        <v>0.1978</v>
      </c>
      <c r="I336">
        <v>0.28999999999999998</v>
      </c>
      <c r="J336">
        <v>2.9</v>
      </c>
      <c r="K336" t="b">
        <f t="shared" si="16"/>
        <v>1</v>
      </c>
      <c r="L336" t="b">
        <f t="shared" si="17"/>
        <v>1</v>
      </c>
    </row>
    <row r="337" spans="1:12" x14ac:dyDescent="0.3">
      <c r="A337" t="s">
        <v>350</v>
      </c>
      <c r="B337" t="s">
        <v>15</v>
      </c>
      <c r="C337">
        <v>35095952</v>
      </c>
      <c r="D337">
        <v>6457</v>
      </c>
      <c r="E337">
        <v>1907</v>
      </c>
      <c r="F337">
        <f t="shared" si="15"/>
        <v>5435.33</v>
      </c>
      <c r="G337">
        <v>73916687</v>
      </c>
      <c r="H337">
        <v>3.7199999999999997E-2</v>
      </c>
      <c r="I337">
        <v>0.34</v>
      </c>
      <c r="J337">
        <v>2.11</v>
      </c>
      <c r="K337" t="b">
        <f t="shared" si="16"/>
        <v>1</v>
      </c>
      <c r="L337" t="b">
        <f t="shared" si="17"/>
        <v>1</v>
      </c>
    </row>
    <row r="338" spans="1:12" x14ac:dyDescent="0.3">
      <c r="A338" t="s">
        <v>351</v>
      </c>
      <c r="B338" t="s">
        <v>11</v>
      </c>
      <c r="C338">
        <v>28235013</v>
      </c>
      <c r="D338">
        <v>14850</v>
      </c>
      <c r="E338">
        <v>591</v>
      </c>
      <c r="F338">
        <f t="shared" si="15"/>
        <v>1901.35</v>
      </c>
      <c r="G338">
        <v>97606841</v>
      </c>
      <c r="H338">
        <v>1.6E-2</v>
      </c>
      <c r="I338">
        <v>0.32</v>
      </c>
      <c r="J338">
        <v>3.46</v>
      </c>
      <c r="K338" t="b">
        <f t="shared" si="16"/>
        <v>1</v>
      </c>
      <c r="L338" t="b">
        <f t="shared" si="17"/>
        <v>1</v>
      </c>
    </row>
    <row r="339" spans="1:12" x14ac:dyDescent="0.3">
      <c r="A339" t="s">
        <v>352</v>
      </c>
      <c r="B339" t="s">
        <v>19</v>
      </c>
      <c r="C339">
        <v>19618744</v>
      </c>
      <c r="D339">
        <v>34942</v>
      </c>
      <c r="E339">
        <v>1837</v>
      </c>
      <c r="F339">
        <f t="shared" si="15"/>
        <v>561.47</v>
      </c>
      <c r="G339">
        <v>46459346</v>
      </c>
      <c r="H339">
        <v>6.8400000000000002E-2</v>
      </c>
      <c r="I339">
        <v>0.71</v>
      </c>
      <c r="J339">
        <v>2.37</v>
      </c>
      <c r="K339" t="b">
        <f t="shared" si="16"/>
        <v>1</v>
      </c>
      <c r="L339" t="b">
        <f t="shared" si="17"/>
        <v>1</v>
      </c>
    </row>
    <row r="340" spans="1:12" x14ac:dyDescent="0.3">
      <c r="A340" t="s">
        <v>353</v>
      </c>
      <c r="B340" t="s">
        <v>15</v>
      </c>
      <c r="C340">
        <v>40807335</v>
      </c>
      <c r="D340">
        <v>22674</v>
      </c>
      <c r="E340">
        <v>66</v>
      </c>
      <c r="F340">
        <f t="shared" si="15"/>
        <v>1799.74</v>
      </c>
      <c r="G340">
        <v>19762057</v>
      </c>
      <c r="H340">
        <v>0.1983</v>
      </c>
      <c r="I340">
        <v>0.26</v>
      </c>
      <c r="J340">
        <v>0.48</v>
      </c>
      <c r="K340" t="b">
        <f t="shared" si="16"/>
        <v>1</v>
      </c>
      <c r="L340" t="b">
        <f t="shared" si="17"/>
        <v>1</v>
      </c>
    </row>
    <row r="341" spans="1:12" x14ac:dyDescent="0.3">
      <c r="A341" t="s">
        <v>354</v>
      </c>
      <c r="B341" t="s">
        <v>17</v>
      </c>
      <c r="C341">
        <v>38704807</v>
      </c>
      <c r="D341">
        <v>32752</v>
      </c>
      <c r="E341">
        <v>915</v>
      </c>
      <c r="F341">
        <f t="shared" si="15"/>
        <v>1181.75</v>
      </c>
      <c r="G341">
        <v>12294623</v>
      </c>
      <c r="H341">
        <v>7.5600000000000001E-2</v>
      </c>
      <c r="I341">
        <v>0.6</v>
      </c>
      <c r="J341">
        <v>0.32</v>
      </c>
      <c r="K341" t="b">
        <f t="shared" si="16"/>
        <v>1</v>
      </c>
      <c r="L341" t="b">
        <f t="shared" si="17"/>
        <v>1</v>
      </c>
    </row>
    <row r="342" spans="1:12" x14ac:dyDescent="0.3">
      <c r="A342" t="s">
        <v>355</v>
      </c>
      <c r="B342" t="s">
        <v>15</v>
      </c>
      <c r="C342">
        <v>22310289</v>
      </c>
      <c r="D342">
        <v>38453</v>
      </c>
      <c r="E342">
        <v>2489</v>
      </c>
      <c r="F342">
        <f t="shared" si="15"/>
        <v>580.20000000000005</v>
      </c>
      <c r="G342">
        <v>28151771</v>
      </c>
      <c r="H342">
        <v>0.17419999999999999</v>
      </c>
      <c r="I342">
        <v>0.32</v>
      </c>
      <c r="J342">
        <v>1.26</v>
      </c>
      <c r="K342" t="b">
        <f t="shared" si="16"/>
        <v>1</v>
      </c>
      <c r="L342" t="b">
        <f t="shared" si="17"/>
        <v>1</v>
      </c>
    </row>
    <row r="343" spans="1:12" x14ac:dyDescent="0.3">
      <c r="A343" t="s">
        <v>356</v>
      </c>
      <c r="B343" t="s">
        <v>15</v>
      </c>
      <c r="C343">
        <v>24592188</v>
      </c>
      <c r="D343">
        <v>18305</v>
      </c>
      <c r="E343">
        <v>1777</v>
      </c>
      <c r="F343">
        <f t="shared" si="15"/>
        <v>1343.47</v>
      </c>
      <c r="G343">
        <v>36321634</v>
      </c>
      <c r="H343">
        <v>2.87E-2</v>
      </c>
      <c r="I343">
        <v>0.65</v>
      </c>
      <c r="J343">
        <v>1.48</v>
      </c>
      <c r="K343" t="b">
        <f t="shared" si="16"/>
        <v>1</v>
      </c>
      <c r="L343" t="b">
        <f t="shared" si="17"/>
        <v>1</v>
      </c>
    </row>
    <row r="344" spans="1:12" x14ac:dyDescent="0.3">
      <c r="A344" t="s">
        <v>357</v>
      </c>
      <c r="B344" t="s">
        <v>11</v>
      </c>
      <c r="C344">
        <v>43488340</v>
      </c>
      <c r="D344">
        <v>5516</v>
      </c>
      <c r="E344">
        <v>1371</v>
      </c>
      <c r="F344">
        <f t="shared" si="15"/>
        <v>7884.04</v>
      </c>
      <c r="G344">
        <v>47357247</v>
      </c>
      <c r="H344">
        <v>8.3900000000000002E-2</v>
      </c>
      <c r="I344">
        <v>0.21</v>
      </c>
      <c r="J344">
        <v>1.0900000000000001</v>
      </c>
      <c r="K344" t="b">
        <f t="shared" si="16"/>
        <v>1</v>
      </c>
      <c r="L344" t="b">
        <f t="shared" si="17"/>
        <v>1</v>
      </c>
    </row>
    <row r="345" spans="1:12" x14ac:dyDescent="0.3">
      <c r="A345" t="s">
        <v>358</v>
      </c>
      <c r="B345" t="s">
        <v>11</v>
      </c>
      <c r="C345">
        <v>22686452</v>
      </c>
      <c r="D345">
        <v>24558</v>
      </c>
      <c r="E345">
        <v>2635</v>
      </c>
      <c r="F345">
        <f t="shared" si="15"/>
        <v>923.79</v>
      </c>
      <c r="G345">
        <v>52656952</v>
      </c>
      <c r="H345">
        <v>0.16139999999999999</v>
      </c>
      <c r="I345">
        <v>0.42</v>
      </c>
      <c r="J345">
        <v>2.3199999999999998</v>
      </c>
      <c r="K345" t="b">
        <f t="shared" si="16"/>
        <v>1</v>
      </c>
      <c r="L345" t="b">
        <f t="shared" si="17"/>
        <v>1</v>
      </c>
    </row>
    <row r="346" spans="1:12" x14ac:dyDescent="0.3">
      <c r="A346" t="s">
        <v>359</v>
      </c>
      <c r="B346" t="s">
        <v>11</v>
      </c>
      <c r="C346">
        <v>13107313</v>
      </c>
      <c r="D346">
        <v>7155</v>
      </c>
      <c r="E346">
        <v>441</v>
      </c>
      <c r="F346">
        <f t="shared" si="15"/>
        <v>1831.91</v>
      </c>
      <c r="G346">
        <v>70001691</v>
      </c>
      <c r="H346">
        <v>0.1206</v>
      </c>
      <c r="I346">
        <v>0.32</v>
      </c>
      <c r="J346">
        <v>5.34</v>
      </c>
      <c r="K346" t="b">
        <f t="shared" si="16"/>
        <v>1</v>
      </c>
      <c r="L346" t="b">
        <f t="shared" si="17"/>
        <v>1</v>
      </c>
    </row>
    <row r="347" spans="1:12" x14ac:dyDescent="0.3">
      <c r="A347" t="s">
        <v>360</v>
      </c>
      <c r="B347" t="s">
        <v>13</v>
      </c>
      <c r="C347">
        <v>47392446</v>
      </c>
      <c r="D347">
        <v>29763</v>
      </c>
      <c r="E347">
        <v>253</v>
      </c>
      <c r="F347">
        <f t="shared" si="15"/>
        <v>1592.33</v>
      </c>
      <c r="G347">
        <v>51616902</v>
      </c>
      <c r="H347">
        <v>0.1744</v>
      </c>
      <c r="I347">
        <v>0.23</v>
      </c>
      <c r="J347">
        <v>1.0900000000000001</v>
      </c>
      <c r="K347" t="b">
        <f t="shared" si="16"/>
        <v>1</v>
      </c>
      <c r="L347" t="b">
        <f t="shared" si="17"/>
        <v>1</v>
      </c>
    </row>
    <row r="348" spans="1:12" x14ac:dyDescent="0.3">
      <c r="A348" t="s">
        <v>361</v>
      </c>
      <c r="B348" t="s">
        <v>15</v>
      </c>
      <c r="C348">
        <v>13860731</v>
      </c>
      <c r="D348">
        <v>36440</v>
      </c>
      <c r="E348">
        <v>1626</v>
      </c>
      <c r="F348">
        <f t="shared" si="15"/>
        <v>380.37</v>
      </c>
      <c r="G348">
        <v>64578860</v>
      </c>
      <c r="H348">
        <v>3.1099999999999999E-2</v>
      </c>
      <c r="I348">
        <v>0.46</v>
      </c>
      <c r="J348">
        <v>4.66</v>
      </c>
      <c r="K348" t="b">
        <f t="shared" si="16"/>
        <v>1</v>
      </c>
      <c r="L348" t="b">
        <f t="shared" si="17"/>
        <v>1</v>
      </c>
    </row>
    <row r="349" spans="1:12" x14ac:dyDescent="0.3">
      <c r="A349" t="s">
        <v>362</v>
      </c>
      <c r="B349" t="s">
        <v>11</v>
      </c>
      <c r="C349">
        <v>40461313</v>
      </c>
      <c r="D349">
        <v>45584</v>
      </c>
      <c r="E349">
        <v>1631</v>
      </c>
      <c r="F349">
        <f t="shared" si="15"/>
        <v>887.62</v>
      </c>
      <c r="G349">
        <v>56901391</v>
      </c>
      <c r="H349">
        <v>9.0800000000000006E-2</v>
      </c>
      <c r="I349">
        <v>0.63</v>
      </c>
      <c r="J349">
        <v>1.41</v>
      </c>
      <c r="K349" t="b">
        <f t="shared" si="16"/>
        <v>1</v>
      </c>
      <c r="L349" t="b">
        <f t="shared" si="17"/>
        <v>1</v>
      </c>
    </row>
    <row r="350" spans="1:12" x14ac:dyDescent="0.3">
      <c r="A350" t="s">
        <v>363</v>
      </c>
      <c r="B350" t="s">
        <v>19</v>
      </c>
      <c r="C350">
        <v>42811664</v>
      </c>
      <c r="D350">
        <v>9988</v>
      </c>
      <c r="E350">
        <v>2378</v>
      </c>
      <c r="F350">
        <f t="shared" si="15"/>
        <v>4286.3100000000004</v>
      </c>
      <c r="G350">
        <v>97417727</v>
      </c>
      <c r="H350">
        <v>0.18679999999999999</v>
      </c>
      <c r="I350">
        <v>0.37</v>
      </c>
      <c r="J350">
        <v>2.2799999999999998</v>
      </c>
      <c r="K350" t="b">
        <f t="shared" si="16"/>
        <v>1</v>
      </c>
      <c r="L350" t="b">
        <f t="shared" si="17"/>
        <v>1</v>
      </c>
    </row>
    <row r="351" spans="1:12" x14ac:dyDescent="0.3">
      <c r="A351" t="s">
        <v>364</v>
      </c>
      <c r="B351" t="s">
        <v>13</v>
      </c>
      <c r="C351">
        <v>49292846</v>
      </c>
      <c r="D351">
        <v>47571</v>
      </c>
      <c r="E351">
        <v>919</v>
      </c>
      <c r="F351">
        <f t="shared" si="15"/>
        <v>1036.2</v>
      </c>
      <c r="G351">
        <v>20477151</v>
      </c>
      <c r="H351">
        <v>0.15110000000000001</v>
      </c>
      <c r="I351">
        <v>0.78</v>
      </c>
      <c r="J351">
        <v>0.42</v>
      </c>
      <c r="K351" t="b">
        <f t="shared" si="16"/>
        <v>1</v>
      </c>
      <c r="L351" t="b">
        <f t="shared" si="17"/>
        <v>1</v>
      </c>
    </row>
    <row r="352" spans="1:12" x14ac:dyDescent="0.3">
      <c r="A352" t="s">
        <v>365</v>
      </c>
      <c r="B352" t="s">
        <v>19</v>
      </c>
      <c r="C352">
        <v>19106303</v>
      </c>
      <c r="D352">
        <v>20907</v>
      </c>
      <c r="E352">
        <v>365</v>
      </c>
      <c r="F352">
        <f t="shared" si="15"/>
        <v>913.87</v>
      </c>
      <c r="G352">
        <v>30541305</v>
      </c>
      <c r="H352">
        <v>5.2900000000000003E-2</v>
      </c>
      <c r="I352">
        <v>0.67</v>
      </c>
      <c r="J352">
        <v>1.6</v>
      </c>
      <c r="K352" t="b">
        <f t="shared" si="16"/>
        <v>1</v>
      </c>
      <c r="L352" t="b">
        <f t="shared" si="17"/>
        <v>1</v>
      </c>
    </row>
    <row r="353" spans="1:12" x14ac:dyDescent="0.3">
      <c r="A353" t="s">
        <v>366</v>
      </c>
      <c r="B353" t="s">
        <v>13</v>
      </c>
      <c r="C353">
        <v>36085230</v>
      </c>
      <c r="D353">
        <v>35181</v>
      </c>
      <c r="E353">
        <v>1323</v>
      </c>
      <c r="F353">
        <f t="shared" si="15"/>
        <v>1025.7</v>
      </c>
      <c r="G353">
        <v>50438398</v>
      </c>
      <c r="H353">
        <v>2.3E-2</v>
      </c>
      <c r="I353">
        <v>0.74</v>
      </c>
      <c r="J353">
        <v>1.4</v>
      </c>
      <c r="K353" t="b">
        <f t="shared" si="16"/>
        <v>1</v>
      </c>
      <c r="L353" t="b">
        <f t="shared" si="17"/>
        <v>1</v>
      </c>
    </row>
    <row r="354" spans="1:12" x14ac:dyDescent="0.3">
      <c r="A354" t="s">
        <v>367</v>
      </c>
      <c r="B354" t="s">
        <v>11</v>
      </c>
      <c r="C354">
        <v>22628439</v>
      </c>
      <c r="D354">
        <v>3517</v>
      </c>
      <c r="E354">
        <v>750</v>
      </c>
      <c r="F354">
        <f t="shared" si="15"/>
        <v>6434.02</v>
      </c>
      <c r="G354">
        <v>53088808</v>
      </c>
      <c r="H354">
        <v>0.10639999999999999</v>
      </c>
      <c r="I354">
        <v>0.25</v>
      </c>
      <c r="J354">
        <v>2.35</v>
      </c>
      <c r="K354" t="b">
        <f t="shared" si="16"/>
        <v>1</v>
      </c>
      <c r="L354" t="b">
        <f t="shared" si="17"/>
        <v>1</v>
      </c>
    </row>
    <row r="355" spans="1:12" x14ac:dyDescent="0.3">
      <c r="A355" t="s">
        <v>368</v>
      </c>
      <c r="B355" t="s">
        <v>17</v>
      </c>
      <c r="C355">
        <v>13216399</v>
      </c>
      <c r="D355">
        <v>36610</v>
      </c>
      <c r="E355">
        <v>2652</v>
      </c>
      <c r="F355">
        <f t="shared" si="15"/>
        <v>361.01</v>
      </c>
      <c r="G355">
        <v>71875979</v>
      </c>
      <c r="H355">
        <v>0.10920000000000001</v>
      </c>
      <c r="I355">
        <v>0.71</v>
      </c>
      <c r="J355">
        <v>5.44</v>
      </c>
      <c r="K355" t="b">
        <f t="shared" si="16"/>
        <v>1</v>
      </c>
      <c r="L355" t="b">
        <f t="shared" si="17"/>
        <v>1</v>
      </c>
    </row>
    <row r="356" spans="1:12" x14ac:dyDescent="0.3">
      <c r="A356" t="s">
        <v>369</v>
      </c>
      <c r="B356" t="s">
        <v>11</v>
      </c>
      <c r="C356">
        <v>5081037</v>
      </c>
      <c r="D356">
        <v>23064</v>
      </c>
      <c r="E356">
        <v>791</v>
      </c>
      <c r="F356">
        <f t="shared" si="15"/>
        <v>220.3</v>
      </c>
      <c r="G356">
        <v>57518842</v>
      </c>
      <c r="H356">
        <v>0.1391</v>
      </c>
      <c r="I356">
        <v>0.47</v>
      </c>
      <c r="J356">
        <v>11.32</v>
      </c>
      <c r="K356" t="b">
        <f t="shared" si="16"/>
        <v>1</v>
      </c>
      <c r="L356" t="b">
        <f t="shared" si="17"/>
        <v>1</v>
      </c>
    </row>
    <row r="357" spans="1:12" x14ac:dyDescent="0.3">
      <c r="A357" t="s">
        <v>370</v>
      </c>
      <c r="B357" t="s">
        <v>11</v>
      </c>
      <c r="C357">
        <v>44966698</v>
      </c>
      <c r="D357">
        <v>49324</v>
      </c>
      <c r="E357">
        <v>927</v>
      </c>
      <c r="F357">
        <f t="shared" si="15"/>
        <v>911.66</v>
      </c>
      <c r="G357">
        <v>37424109</v>
      </c>
      <c r="H357">
        <v>0.1074</v>
      </c>
      <c r="I357">
        <v>0.49</v>
      </c>
      <c r="J357">
        <v>0.83</v>
      </c>
      <c r="K357" t="b">
        <f t="shared" si="16"/>
        <v>1</v>
      </c>
      <c r="L357" t="b">
        <f t="shared" si="17"/>
        <v>1</v>
      </c>
    </row>
    <row r="358" spans="1:12" x14ac:dyDescent="0.3">
      <c r="A358" t="s">
        <v>371</v>
      </c>
      <c r="B358" t="s">
        <v>11</v>
      </c>
      <c r="C358">
        <v>7807769</v>
      </c>
      <c r="D358">
        <v>20960</v>
      </c>
      <c r="E358">
        <v>491</v>
      </c>
      <c r="F358">
        <f t="shared" si="15"/>
        <v>372.51</v>
      </c>
      <c r="G358">
        <v>50824909</v>
      </c>
      <c r="H358">
        <v>0.1575</v>
      </c>
      <c r="I358">
        <v>0.26</v>
      </c>
      <c r="J358">
        <v>6.51</v>
      </c>
      <c r="K358" t="b">
        <f t="shared" si="16"/>
        <v>1</v>
      </c>
      <c r="L358" t="b">
        <f t="shared" si="17"/>
        <v>1</v>
      </c>
    </row>
    <row r="359" spans="1:12" x14ac:dyDescent="0.3">
      <c r="A359" t="s">
        <v>372</v>
      </c>
      <c r="B359" t="s">
        <v>15</v>
      </c>
      <c r="C359">
        <v>25561308</v>
      </c>
      <c r="D359">
        <v>31593</v>
      </c>
      <c r="E359">
        <v>808</v>
      </c>
      <c r="F359">
        <f t="shared" si="15"/>
        <v>809.08</v>
      </c>
      <c r="G359">
        <v>83307960</v>
      </c>
      <c r="H359">
        <v>0.12520000000000001</v>
      </c>
      <c r="I359">
        <v>0.66</v>
      </c>
      <c r="J359">
        <v>3.26</v>
      </c>
      <c r="K359" t="b">
        <f t="shared" si="16"/>
        <v>1</v>
      </c>
      <c r="L359" t="b">
        <f t="shared" si="17"/>
        <v>1</v>
      </c>
    </row>
    <row r="360" spans="1:12" x14ac:dyDescent="0.3">
      <c r="A360" t="s">
        <v>373</v>
      </c>
      <c r="B360" t="s">
        <v>15</v>
      </c>
      <c r="C360">
        <v>46285572</v>
      </c>
      <c r="D360">
        <v>9767</v>
      </c>
      <c r="E360">
        <v>181</v>
      </c>
      <c r="F360">
        <f t="shared" si="15"/>
        <v>4738.9799999999996</v>
      </c>
      <c r="G360">
        <v>69618164</v>
      </c>
      <c r="H360">
        <v>2.4899999999999999E-2</v>
      </c>
      <c r="I360">
        <v>0.7</v>
      </c>
      <c r="J360">
        <v>1.5</v>
      </c>
      <c r="K360" t="b">
        <f t="shared" si="16"/>
        <v>1</v>
      </c>
      <c r="L360" t="b">
        <f t="shared" si="17"/>
        <v>1</v>
      </c>
    </row>
    <row r="361" spans="1:12" x14ac:dyDescent="0.3">
      <c r="A361" t="s">
        <v>374</v>
      </c>
      <c r="B361" t="s">
        <v>11</v>
      </c>
      <c r="C361">
        <v>44784192</v>
      </c>
      <c r="D361">
        <v>34989</v>
      </c>
      <c r="E361">
        <v>660</v>
      </c>
      <c r="F361">
        <f t="shared" si="15"/>
        <v>1279.95</v>
      </c>
      <c r="G361">
        <v>58703201</v>
      </c>
      <c r="H361">
        <v>9.2600000000000002E-2</v>
      </c>
      <c r="I361">
        <v>0.6</v>
      </c>
      <c r="J361">
        <v>1.31</v>
      </c>
      <c r="K361" t="b">
        <f t="shared" si="16"/>
        <v>1</v>
      </c>
      <c r="L361" t="b">
        <f t="shared" si="17"/>
        <v>1</v>
      </c>
    </row>
    <row r="362" spans="1:12" x14ac:dyDescent="0.3">
      <c r="A362" t="s">
        <v>375</v>
      </c>
      <c r="B362" t="s">
        <v>19</v>
      </c>
      <c r="C362">
        <v>49721544</v>
      </c>
      <c r="D362">
        <v>4400</v>
      </c>
      <c r="E362">
        <v>1992</v>
      </c>
      <c r="F362">
        <f t="shared" si="15"/>
        <v>11300.35</v>
      </c>
      <c r="G362">
        <v>68424157</v>
      </c>
      <c r="H362">
        <v>3.9100000000000003E-2</v>
      </c>
      <c r="I362">
        <v>0.36</v>
      </c>
      <c r="J362">
        <v>1.38</v>
      </c>
      <c r="K362" t="b">
        <f t="shared" si="16"/>
        <v>1</v>
      </c>
      <c r="L362" t="b">
        <f t="shared" si="17"/>
        <v>1</v>
      </c>
    </row>
    <row r="363" spans="1:12" x14ac:dyDescent="0.3">
      <c r="A363" t="s">
        <v>376</v>
      </c>
      <c r="B363" t="s">
        <v>13</v>
      </c>
      <c r="C363">
        <v>42841324</v>
      </c>
      <c r="D363">
        <v>8595</v>
      </c>
      <c r="E363">
        <v>863</v>
      </c>
      <c r="F363">
        <f t="shared" si="15"/>
        <v>4984.45</v>
      </c>
      <c r="G363">
        <v>15259481</v>
      </c>
      <c r="H363">
        <v>0.19009999999999999</v>
      </c>
      <c r="I363">
        <v>0.32</v>
      </c>
      <c r="J363">
        <v>0.36</v>
      </c>
      <c r="K363" t="b">
        <f t="shared" si="16"/>
        <v>1</v>
      </c>
      <c r="L363" t="b">
        <f t="shared" si="17"/>
        <v>1</v>
      </c>
    </row>
    <row r="364" spans="1:12" x14ac:dyDescent="0.3">
      <c r="A364" t="s">
        <v>377</v>
      </c>
      <c r="B364" t="s">
        <v>19</v>
      </c>
      <c r="C364">
        <v>15443617</v>
      </c>
      <c r="D364">
        <v>31445</v>
      </c>
      <c r="E364">
        <v>1187</v>
      </c>
      <c r="F364">
        <f t="shared" si="15"/>
        <v>491.13</v>
      </c>
      <c r="G364">
        <v>64439301</v>
      </c>
      <c r="H364">
        <v>8.2699999999999996E-2</v>
      </c>
      <c r="I364">
        <v>0.28999999999999998</v>
      </c>
      <c r="J364">
        <v>4.17</v>
      </c>
      <c r="K364" t="b">
        <f t="shared" si="16"/>
        <v>1</v>
      </c>
      <c r="L364" t="b">
        <f t="shared" si="17"/>
        <v>1</v>
      </c>
    </row>
    <row r="365" spans="1:12" x14ac:dyDescent="0.3">
      <c r="A365" t="s">
        <v>378</v>
      </c>
      <c r="B365" t="s">
        <v>19</v>
      </c>
      <c r="C365">
        <v>26098650</v>
      </c>
      <c r="D365">
        <v>36816</v>
      </c>
      <c r="E365">
        <v>2962</v>
      </c>
      <c r="F365">
        <f t="shared" si="15"/>
        <v>708.89</v>
      </c>
      <c r="G365">
        <v>78033637</v>
      </c>
      <c r="H365">
        <v>0.1236</v>
      </c>
      <c r="I365">
        <v>0.47</v>
      </c>
      <c r="J365">
        <v>2.99</v>
      </c>
      <c r="K365" t="b">
        <f t="shared" si="16"/>
        <v>1</v>
      </c>
      <c r="L365" t="b">
        <f t="shared" si="17"/>
        <v>1</v>
      </c>
    </row>
    <row r="366" spans="1:12" x14ac:dyDescent="0.3">
      <c r="A366" t="s">
        <v>379</v>
      </c>
      <c r="B366" t="s">
        <v>15</v>
      </c>
      <c r="C366">
        <v>7769411</v>
      </c>
      <c r="D366">
        <v>43571</v>
      </c>
      <c r="E366">
        <v>1104</v>
      </c>
      <c r="F366">
        <f t="shared" si="15"/>
        <v>178.32</v>
      </c>
      <c r="G366">
        <v>87815955</v>
      </c>
      <c r="H366">
        <v>3.27E-2</v>
      </c>
      <c r="I366">
        <v>0.71</v>
      </c>
      <c r="J366">
        <v>11.3</v>
      </c>
      <c r="K366" t="b">
        <f t="shared" si="16"/>
        <v>1</v>
      </c>
      <c r="L366" t="b">
        <f t="shared" si="17"/>
        <v>1</v>
      </c>
    </row>
    <row r="367" spans="1:12" x14ac:dyDescent="0.3">
      <c r="A367" t="s">
        <v>380</v>
      </c>
      <c r="B367" t="s">
        <v>19</v>
      </c>
      <c r="C367">
        <v>30258476</v>
      </c>
      <c r="D367">
        <v>34104</v>
      </c>
      <c r="E367">
        <v>2685</v>
      </c>
      <c r="F367">
        <f t="shared" si="15"/>
        <v>887.24</v>
      </c>
      <c r="G367">
        <v>41976191</v>
      </c>
      <c r="H367">
        <v>0.15409999999999999</v>
      </c>
      <c r="I367">
        <v>0.56000000000000005</v>
      </c>
      <c r="J367">
        <v>1.39</v>
      </c>
      <c r="K367" t="b">
        <f t="shared" si="16"/>
        <v>1</v>
      </c>
      <c r="L367" t="b">
        <f t="shared" si="17"/>
        <v>1</v>
      </c>
    </row>
    <row r="368" spans="1:12" x14ac:dyDescent="0.3">
      <c r="A368" t="s">
        <v>381</v>
      </c>
      <c r="B368" t="s">
        <v>15</v>
      </c>
      <c r="C368">
        <v>46816567</v>
      </c>
      <c r="D368">
        <v>37477</v>
      </c>
      <c r="E368">
        <v>1092</v>
      </c>
      <c r="F368">
        <f t="shared" si="15"/>
        <v>1249.21</v>
      </c>
      <c r="G368">
        <v>64064423</v>
      </c>
      <c r="H368">
        <v>0.16789999999999999</v>
      </c>
      <c r="I368">
        <v>0.49</v>
      </c>
      <c r="J368">
        <v>1.37</v>
      </c>
      <c r="K368" t="b">
        <f t="shared" si="16"/>
        <v>1</v>
      </c>
      <c r="L368" t="b">
        <f t="shared" si="17"/>
        <v>1</v>
      </c>
    </row>
    <row r="369" spans="1:12" x14ac:dyDescent="0.3">
      <c r="A369" t="s">
        <v>382</v>
      </c>
      <c r="B369" t="s">
        <v>13</v>
      </c>
      <c r="C369">
        <v>10346958</v>
      </c>
      <c r="D369">
        <v>32371</v>
      </c>
      <c r="E369">
        <v>2714</v>
      </c>
      <c r="F369">
        <f t="shared" si="15"/>
        <v>319.64</v>
      </c>
      <c r="G369">
        <v>56727202</v>
      </c>
      <c r="H369">
        <v>9.1600000000000001E-2</v>
      </c>
      <c r="I369">
        <v>0.21</v>
      </c>
      <c r="J369">
        <v>5.48</v>
      </c>
      <c r="K369" t="b">
        <f t="shared" si="16"/>
        <v>1</v>
      </c>
      <c r="L369" t="b">
        <f t="shared" si="17"/>
        <v>1</v>
      </c>
    </row>
    <row r="370" spans="1:12" x14ac:dyDescent="0.3">
      <c r="A370" t="s">
        <v>383</v>
      </c>
      <c r="B370" t="s">
        <v>17</v>
      </c>
      <c r="C370">
        <v>31043455</v>
      </c>
      <c r="D370">
        <v>8902</v>
      </c>
      <c r="E370">
        <v>1385</v>
      </c>
      <c r="F370">
        <f t="shared" si="15"/>
        <v>3487.25</v>
      </c>
      <c r="G370">
        <v>19374924</v>
      </c>
      <c r="H370">
        <v>0.1739</v>
      </c>
      <c r="I370">
        <v>0.35</v>
      </c>
      <c r="J370">
        <v>0.62</v>
      </c>
      <c r="K370" t="b">
        <f t="shared" si="16"/>
        <v>1</v>
      </c>
      <c r="L370" t="b">
        <f t="shared" si="17"/>
        <v>1</v>
      </c>
    </row>
    <row r="371" spans="1:12" x14ac:dyDescent="0.3">
      <c r="A371" t="s">
        <v>384</v>
      </c>
      <c r="B371" t="s">
        <v>11</v>
      </c>
      <c r="C371">
        <v>41030998</v>
      </c>
      <c r="D371">
        <v>8009</v>
      </c>
      <c r="E371">
        <v>1470</v>
      </c>
      <c r="F371">
        <f t="shared" si="15"/>
        <v>5123.1099999999997</v>
      </c>
      <c r="G371">
        <v>46801057</v>
      </c>
      <c r="H371">
        <v>0.17949999999999999</v>
      </c>
      <c r="I371">
        <v>0.46</v>
      </c>
      <c r="J371">
        <v>1.1399999999999999</v>
      </c>
      <c r="K371" t="b">
        <f t="shared" si="16"/>
        <v>1</v>
      </c>
      <c r="L371" t="b">
        <f t="shared" si="17"/>
        <v>1</v>
      </c>
    </row>
    <row r="372" spans="1:12" x14ac:dyDescent="0.3">
      <c r="A372" t="s">
        <v>385</v>
      </c>
      <c r="B372" t="s">
        <v>13</v>
      </c>
      <c r="C372">
        <v>41913983</v>
      </c>
      <c r="D372">
        <v>5623</v>
      </c>
      <c r="E372">
        <v>676</v>
      </c>
      <c r="F372">
        <f t="shared" si="15"/>
        <v>7454.03</v>
      </c>
      <c r="G372">
        <v>76006034</v>
      </c>
      <c r="H372">
        <v>9.3200000000000005E-2</v>
      </c>
      <c r="I372">
        <v>0.54</v>
      </c>
      <c r="J372">
        <v>1.81</v>
      </c>
      <c r="K372" t="b">
        <f t="shared" si="16"/>
        <v>1</v>
      </c>
      <c r="L372" t="b">
        <f t="shared" si="17"/>
        <v>1</v>
      </c>
    </row>
    <row r="373" spans="1:12" x14ac:dyDescent="0.3">
      <c r="A373" t="s">
        <v>386</v>
      </c>
      <c r="B373" t="s">
        <v>19</v>
      </c>
      <c r="C373">
        <v>7541853</v>
      </c>
      <c r="D373">
        <v>38012</v>
      </c>
      <c r="E373">
        <v>639</v>
      </c>
      <c r="F373">
        <f t="shared" si="15"/>
        <v>198.41</v>
      </c>
      <c r="G373">
        <v>65114050</v>
      </c>
      <c r="H373">
        <v>0.18709999999999999</v>
      </c>
      <c r="I373">
        <v>0.7</v>
      </c>
      <c r="J373">
        <v>8.6300000000000008</v>
      </c>
      <c r="K373" t="b">
        <f t="shared" si="16"/>
        <v>1</v>
      </c>
      <c r="L373" t="b">
        <f t="shared" si="17"/>
        <v>1</v>
      </c>
    </row>
    <row r="374" spans="1:12" x14ac:dyDescent="0.3">
      <c r="A374" t="s">
        <v>387</v>
      </c>
      <c r="B374" t="s">
        <v>17</v>
      </c>
      <c r="C374">
        <v>5515084</v>
      </c>
      <c r="D374">
        <v>30360</v>
      </c>
      <c r="E374">
        <v>2021</v>
      </c>
      <c r="F374">
        <f t="shared" si="15"/>
        <v>181.66</v>
      </c>
      <c r="G374">
        <v>38305837</v>
      </c>
      <c r="H374">
        <v>4.8300000000000003E-2</v>
      </c>
      <c r="I374">
        <v>0.63</v>
      </c>
      <c r="J374">
        <v>6.95</v>
      </c>
      <c r="K374" t="b">
        <f t="shared" si="16"/>
        <v>1</v>
      </c>
      <c r="L374" t="b">
        <f t="shared" si="17"/>
        <v>1</v>
      </c>
    </row>
    <row r="375" spans="1:12" x14ac:dyDescent="0.3">
      <c r="A375" t="s">
        <v>388</v>
      </c>
      <c r="B375" t="s">
        <v>19</v>
      </c>
      <c r="C375">
        <v>18582958</v>
      </c>
      <c r="D375">
        <v>26964</v>
      </c>
      <c r="E375">
        <v>2870</v>
      </c>
      <c r="F375">
        <f t="shared" si="15"/>
        <v>689.18</v>
      </c>
      <c r="G375">
        <v>61774784</v>
      </c>
      <c r="H375">
        <v>0.1492</v>
      </c>
      <c r="I375">
        <v>0.3</v>
      </c>
      <c r="J375">
        <v>3.32</v>
      </c>
      <c r="K375" t="b">
        <f t="shared" si="16"/>
        <v>1</v>
      </c>
      <c r="L375" t="b">
        <f t="shared" si="17"/>
        <v>1</v>
      </c>
    </row>
    <row r="376" spans="1:12" x14ac:dyDescent="0.3">
      <c r="A376" t="s">
        <v>389</v>
      </c>
      <c r="B376" t="s">
        <v>15</v>
      </c>
      <c r="C376">
        <v>40533131</v>
      </c>
      <c r="D376">
        <v>32436</v>
      </c>
      <c r="E376">
        <v>1679</v>
      </c>
      <c r="F376">
        <f t="shared" ref="F376:F438" si="18">IF(D376 = 0,FALSE,ROUND(C376/D376,2))</f>
        <v>1249.6300000000001</v>
      </c>
      <c r="G376">
        <v>48053613</v>
      </c>
      <c r="H376">
        <v>0.1338</v>
      </c>
      <c r="I376">
        <v>0.8</v>
      </c>
      <c r="J376">
        <v>1.19</v>
      </c>
      <c r="K376" t="b">
        <f t="shared" ref="K376:K438" si="19" xml:space="preserve"> IF(E376&gt;D376,FALSE,TRUE)</f>
        <v>1</v>
      </c>
      <c r="L376" t="b">
        <f t="shared" si="17"/>
        <v>1</v>
      </c>
    </row>
    <row r="377" spans="1:12" x14ac:dyDescent="0.3">
      <c r="A377" t="s">
        <v>390</v>
      </c>
      <c r="B377" t="s">
        <v>15</v>
      </c>
      <c r="C377">
        <v>6456135</v>
      </c>
      <c r="D377">
        <v>45036</v>
      </c>
      <c r="E377">
        <v>2217</v>
      </c>
      <c r="F377">
        <f t="shared" si="18"/>
        <v>143.35</v>
      </c>
      <c r="G377">
        <v>13058261</v>
      </c>
      <c r="H377">
        <v>0.1686</v>
      </c>
      <c r="I377">
        <v>0.42</v>
      </c>
      <c r="J377">
        <v>2.02</v>
      </c>
      <c r="K377" t="b">
        <f t="shared" si="19"/>
        <v>1</v>
      </c>
      <c r="L377" t="b">
        <f t="shared" si="17"/>
        <v>1</v>
      </c>
    </row>
    <row r="378" spans="1:12" x14ac:dyDescent="0.3">
      <c r="A378" t="s">
        <v>391</v>
      </c>
      <c r="B378" t="s">
        <v>19</v>
      </c>
      <c r="C378">
        <v>36792886</v>
      </c>
      <c r="D378">
        <v>46727</v>
      </c>
      <c r="E378">
        <v>282</v>
      </c>
      <c r="F378">
        <f t="shared" si="18"/>
        <v>787.4</v>
      </c>
      <c r="G378">
        <v>45075495</v>
      </c>
      <c r="H378">
        <v>0.1484</v>
      </c>
      <c r="I378">
        <v>0.5</v>
      </c>
      <c r="J378">
        <v>1.23</v>
      </c>
      <c r="K378" t="b">
        <f t="shared" si="19"/>
        <v>1</v>
      </c>
      <c r="L378" t="b">
        <f t="shared" si="17"/>
        <v>1</v>
      </c>
    </row>
    <row r="379" spans="1:12" x14ac:dyDescent="0.3">
      <c r="A379" t="s">
        <v>392</v>
      </c>
      <c r="B379" t="s">
        <v>17</v>
      </c>
      <c r="C379">
        <v>16272034</v>
      </c>
      <c r="D379">
        <v>7180</v>
      </c>
      <c r="E379">
        <v>856</v>
      </c>
      <c r="F379">
        <f t="shared" si="18"/>
        <v>2266.3000000000002</v>
      </c>
      <c r="G379">
        <v>14682090</v>
      </c>
      <c r="H379">
        <v>0.1512</v>
      </c>
      <c r="I379">
        <v>0.36</v>
      </c>
      <c r="J379">
        <v>0.9</v>
      </c>
      <c r="K379" t="b">
        <f t="shared" si="19"/>
        <v>1</v>
      </c>
      <c r="L379" t="b">
        <f t="shared" ref="L379:L441" si="20">IF(E379/D379*100&gt;50,FALSE,TRUE)</f>
        <v>1</v>
      </c>
    </row>
    <row r="380" spans="1:12" x14ac:dyDescent="0.3">
      <c r="A380" t="s">
        <v>393</v>
      </c>
      <c r="B380" t="s">
        <v>19</v>
      </c>
      <c r="C380">
        <v>38499912</v>
      </c>
      <c r="D380">
        <v>47442</v>
      </c>
      <c r="E380">
        <v>1999</v>
      </c>
      <c r="F380">
        <f t="shared" si="18"/>
        <v>811.52</v>
      </c>
      <c r="G380">
        <v>10436786</v>
      </c>
      <c r="H380">
        <v>0.1613</v>
      </c>
      <c r="I380">
        <v>0.49</v>
      </c>
      <c r="J380">
        <v>0.27</v>
      </c>
      <c r="K380" t="b">
        <f t="shared" si="19"/>
        <v>1</v>
      </c>
      <c r="L380" t="b">
        <f t="shared" si="20"/>
        <v>1</v>
      </c>
    </row>
    <row r="381" spans="1:12" x14ac:dyDescent="0.3">
      <c r="A381" t="s">
        <v>394</v>
      </c>
      <c r="B381" t="s">
        <v>17</v>
      </c>
      <c r="C381">
        <v>23391131</v>
      </c>
      <c r="D381">
        <v>31311</v>
      </c>
      <c r="E381">
        <v>508</v>
      </c>
      <c r="F381">
        <f t="shared" si="18"/>
        <v>747.06</v>
      </c>
      <c r="G381">
        <v>83448447</v>
      </c>
      <c r="H381">
        <v>0.18160000000000001</v>
      </c>
      <c r="I381">
        <v>0.67</v>
      </c>
      <c r="J381">
        <v>3.57</v>
      </c>
      <c r="K381" t="b">
        <f t="shared" si="19"/>
        <v>1</v>
      </c>
      <c r="L381" t="b">
        <f t="shared" si="20"/>
        <v>1</v>
      </c>
    </row>
    <row r="382" spans="1:12" x14ac:dyDescent="0.3">
      <c r="A382" t="s">
        <v>395</v>
      </c>
      <c r="B382" t="s">
        <v>13</v>
      </c>
      <c r="C382">
        <v>13505964</v>
      </c>
      <c r="D382">
        <v>47780</v>
      </c>
      <c r="E382">
        <v>991</v>
      </c>
      <c r="F382">
        <f t="shared" si="18"/>
        <v>282.67</v>
      </c>
      <c r="G382">
        <v>39653447</v>
      </c>
      <c r="H382">
        <v>0.1017</v>
      </c>
      <c r="I382">
        <v>0.46</v>
      </c>
      <c r="J382">
        <v>2.94</v>
      </c>
      <c r="K382" t="b">
        <f t="shared" si="19"/>
        <v>1</v>
      </c>
      <c r="L382" t="b">
        <f t="shared" si="20"/>
        <v>1</v>
      </c>
    </row>
    <row r="383" spans="1:12" x14ac:dyDescent="0.3">
      <c r="A383" t="s">
        <v>396</v>
      </c>
      <c r="B383" t="s">
        <v>19</v>
      </c>
      <c r="C383">
        <v>49567057</v>
      </c>
      <c r="D383">
        <v>36051</v>
      </c>
      <c r="E383">
        <v>209</v>
      </c>
      <c r="F383">
        <f t="shared" si="18"/>
        <v>1374.91</v>
      </c>
      <c r="G383">
        <v>40573561</v>
      </c>
      <c r="H383">
        <v>2.3099999999999999E-2</v>
      </c>
      <c r="I383">
        <v>0.52</v>
      </c>
      <c r="J383">
        <v>0.82</v>
      </c>
      <c r="K383" t="b">
        <f t="shared" si="19"/>
        <v>1</v>
      </c>
      <c r="L383" t="b">
        <f t="shared" si="20"/>
        <v>1</v>
      </c>
    </row>
    <row r="384" spans="1:12" x14ac:dyDescent="0.3">
      <c r="A384" t="s">
        <v>397</v>
      </c>
      <c r="B384" t="s">
        <v>15</v>
      </c>
      <c r="C384">
        <v>43693325</v>
      </c>
      <c r="D384">
        <v>18797</v>
      </c>
      <c r="E384">
        <v>2944</v>
      </c>
      <c r="F384">
        <f t="shared" si="18"/>
        <v>2324.48</v>
      </c>
      <c r="G384">
        <v>50145890</v>
      </c>
      <c r="H384">
        <v>0.1318</v>
      </c>
      <c r="I384">
        <v>0.72</v>
      </c>
      <c r="J384">
        <v>1.1499999999999999</v>
      </c>
      <c r="K384" t="b">
        <f t="shared" si="19"/>
        <v>1</v>
      </c>
      <c r="L384" t="b">
        <f t="shared" si="20"/>
        <v>1</v>
      </c>
    </row>
    <row r="385" spans="1:12" x14ac:dyDescent="0.3">
      <c r="A385" t="s">
        <v>398</v>
      </c>
      <c r="B385" t="s">
        <v>19</v>
      </c>
      <c r="C385">
        <v>16357668</v>
      </c>
      <c r="D385">
        <v>19580</v>
      </c>
      <c r="E385">
        <v>1925</v>
      </c>
      <c r="F385">
        <f t="shared" si="18"/>
        <v>835.43</v>
      </c>
      <c r="G385">
        <v>76836076</v>
      </c>
      <c r="H385">
        <v>9.9400000000000002E-2</v>
      </c>
      <c r="I385">
        <v>0.52</v>
      </c>
      <c r="J385">
        <v>4.7</v>
      </c>
      <c r="K385" t="b">
        <f t="shared" si="19"/>
        <v>1</v>
      </c>
      <c r="L385" t="b">
        <f t="shared" si="20"/>
        <v>1</v>
      </c>
    </row>
    <row r="386" spans="1:12" x14ac:dyDescent="0.3">
      <c r="A386" t="s">
        <v>399</v>
      </c>
      <c r="B386" t="s">
        <v>11</v>
      </c>
      <c r="C386">
        <v>17582546</v>
      </c>
      <c r="D386">
        <v>17759</v>
      </c>
      <c r="E386">
        <v>2735</v>
      </c>
      <c r="F386">
        <f t="shared" si="18"/>
        <v>990.06</v>
      </c>
      <c r="G386">
        <v>55895402</v>
      </c>
      <c r="H386">
        <v>6.3200000000000006E-2</v>
      </c>
      <c r="I386">
        <v>0.35</v>
      </c>
      <c r="J386">
        <v>3.18</v>
      </c>
      <c r="K386" t="b">
        <f t="shared" si="19"/>
        <v>1</v>
      </c>
      <c r="L386" t="b">
        <f t="shared" si="20"/>
        <v>1</v>
      </c>
    </row>
    <row r="387" spans="1:12" x14ac:dyDescent="0.3">
      <c r="A387" t="s">
        <v>400</v>
      </c>
      <c r="B387" t="s">
        <v>13</v>
      </c>
      <c r="C387">
        <v>12922186</v>
      </c>
      <c r="D387">
        <v>8794</v>
      </c>
      <c r="E387">
        <v>2212</v>
      </c>
      <c r="F387">
        <f t="shared" si="18"/>
        <v>1469.43</v>
      </c>
      <c r="G387">
        <v>58053038</v>
      </c>
      <c r="H387">
        <v>0.12720000000000001</v>
      </c>
      <c r="I387">
        <v>0.33</v>
      </c>
      <c r="J387">
        <v>4.49</v>
      </c>
      <c r="K387" t="b">
        <f t="shared" si="19"/>
        <v>1</v>
      </c>
      <c r="L387" t="b">
        <f t="shared" si="20"/>
        <v>1</v>
      </c>
    </row>
    <row r="388" spans="1:12" x14ac:dyDescent="0.3">
      <c r="A388" t="s">
        <v>401</v>
      </c>
      <c r="B388" t="s">
        <v>13</v>
      </c>
      <c r="C388">
        <v>15897906</v>
      </c>
      <c r="D388">
        <v>43550</v>
      </c>
      <c r="E388">
        <v>835</v>
      </c>
      <c r="F388">
        <f t="shared" si="18"/>
        <v>365.05</v>
      </c>
      <c r="G388">
        <v>54965211</v>
      </c>
      <c r="H388">
        <v>4.4699999999999997E-2</v>
      </c>
      <c r="I388">
        <v>0.47</v>
      </c>
      <c r="J388">
        <v>3.46</v>
      </c>
      <c r="K388" t="b">
        <f t="shared" si="19"/>
        <v>1</v>
      </c>
      <c r="L388" t="b">
        <f t="shared" si="20"/>
        <v>1</v>
      </c>
    </row>
    <row r="389" spans="1:12" x14ac:dyDescent="0.3">
      <c r="A389" t="s">
        <v>402</v>
      </c>
      <c r="B389" t="s">
        <v>19</v>
      </c>
      <c r="C389">
        <v>23915724</v>
      </c>
      <c r="D389">
        <v>44794</v>
      </c>
      <c r="E389">
        <v>2976</v>
      </c>
      <c r="F389">
        <f t="shared" si="18"/>
        <v>533.9</v>
      </c>
      <c r="G389">
        <v>79513159</v>
      </c>
      <c r="H389">
        <v>7.6100000000000001E-2</v>
      </c>
      <c r="I389">
        <v>0.26</v>
      </c>
      <c r="J389">
        <v>3.32</v>
      </c>
      <c r="K389" t="b">
        <f t="shared" si="19"/>
        <v>1</v>
      </c>
      <c r="L389" t="b">
        <f t="shared" si="20"/>
        <v>1</v>
      </c>
    </row>
    <row r="390" spans="1:12" x14ac:dyDescent="0.3">
      <c r="A390" t="s">
        <v>403</v>
      </c>
      <c r="B390" t="s">
        <v>11</v>
      </c>
      <c r="C390">
        <v>34490356</v>
      </c>
      <c r="D390">
        <v>16881</v>
      </c>
      <c r="E390">
        <v>495</v>
      </c>
      <c r="F390">
        <f t="shared" si="18"/>
        <v>2043.15</v>
      </c>
      <c r="G390">
        <v>75277551</v>
      </c>
      <c r="H390">
        <v>0.19040000000000001</v>
      </c>
      <c r="I390">
        <v>0.51</v>
      </c>
      <c r="J390">
        <v>2.1800000000000002</v>
      </c>
      <c r="K390" t="b">
        <f t="shared" si="19"/>
        <v>1</v>
      </c>
      <c r="L390" t="b">
        <f t="shared" si="20"/>
        <v>1</v>
      </c>
    </row>
    <row r="391" spans="1:12" x14ac:dyDescent="0.3">
      <c r="A391" t="s">
        <v>404</v>
      </c>
      <c r="B391" t="s">
        <v>13</v>
      </c>
      <c r="C391">
        <v>16613675</v>
      </c>
      <c r="D391">
        <v>35311</v>
      </c>
      <c r="E391">
        <v>2906</v>
      </c>
      <c r="F391">
        <f t="shared" si="18"/>
        <v>470.5</v>
      </c>
      <c r="G391">
        <v>25116513</v>
      </c>
      <c r="H391">
        <v>2.9100000000000001E-2</v>
      </c>
      <c r="I391">
        <v>0.8</v>
      </c>
      <c r="J391">
        <v>1.51</v>
      </c>
      <c r="K391" t="b">
        <f t="shared" si="19"/>
        <v>1</v>
      </c>
      <c r="L391" t="b">
        <f t="shared" si="20"/>
        <v>1</v>
      </c>
    </row>
    <row r="392" spans="1:12" x14ac:dyDescent="0.3">
      <c r="A392" t="s">
        <v>405</v>
      </c>
      <c r="B392" t="s">
        <v>19</v>
      </c>
      <c r="C392">
        <v>37188345</v>
      </c>
      <c r="D392">
        <v>2629</v>
      </c>
      <c r="E392">
        <v>377</v>
      </c>
      <c r="F392">
        <f t="shared" si="18"/>
        <v>14145.43</v>
      </c>
      <c r="G392">
        <v>76979355</v>
      </c>
      <c r="H392">
        <v>0.1585</v>
      </c>
      <c r="I392">
        <v>0.6</v>
      </c>
      <c r="J392">
        <v>2.0699999999999998</v>
      </c>
      <c r="K392" t="b">
        <f t="shared" si="19"/>
        <v>1</v>
      </c>
      <c r="L392" t="b">
        <f t="shared" si="20"/>
        <v>1</v>
      </c>
    </row>
    <row r="393" spans="1:12" x14ac:dyDescent="0.3">
      <c r="A393" t="s">
        <v>406</v>
      </c>
      <c r="B393" t="s">
        <v>15</v>
      </c>
      <c r="C393">
        <v>26992621</v>
      </c>
      <c r="D393">
        <v>46802</v>
      </c>
      <c r="E393">
        <v>2869</v>
      </c>
      <c r="F393">
        <f t="shared" si="18"/>
        <v>576.74</v>
      </c>
      <c r="G393">
        <v>59622459</v>
      </c>
      <c r="H393">
        <v>0.19109999999999999</v>
      </c>
      <c r="I393">
        <v>0.54</v>
      </c>
      <c r="J393">
        <v>2.21</v>
      </c>
      <c r="K393" t="b">
        <f t="shared" si="19"/>
        <v>1</v>
      </c>
      <c r="L393" t="b">
        <f t="shared" si="20"/>
        <v>1</v>
      </c>
    </row>
    <row r="394" spans="1:12" x14ac:dyDescent="0.3">
      <c r="A394" t="s">
        <v>407</v>
      </c>
      <c r="B394" t="s">
        <v>17</v>
      </c>
      <c r="C394">
        <v>20513594</v>
      </c>
      <c r="D394">
        <v>12339</v>
      </c>
      <c r="E394">
        <v>2196</v>
      </c>
      <c r="F394">
        <f t="shared" si="18"/>
        <v>1662.5</v>
      </c>
      <c r="G394">
        <v>70839837</v>
      </c>
      <c r="H394">
        <v>0.12790000000000001</v>
      </c>
      <c r="I394">
        <v>0.26</v>
      </c>
      <c r="J394">
        <v>3.45</v>
      </c>
      <c r="K394" t="b">
        <f t="shared" si="19"/>
        <v>1</v>
      </c>
      <c r="L394" t="b">
        <f t="shared" si="20"/>
        <v>1</v>
      </c>
    </row>
    <row r="395" spans="1:12" x14ac:dyDescent="0.3">
      <c r="A395" t="s">
        <v>408</v>
      </c>
      <c r="B395" t="s">
        <v>19</v>
      </c>
      <c r="C395">
        <v>34978447</v>
      </c>
      <c r="D395">
        <v>12184</v>
      </c>
      <c r="E395">
        <v>569</v>
      </c>
      <c r="F395">
        <f t="shared" si="18"/>
        <v>2870.85</v>
      </c>
      <c r="G395">
        <v>74295888</v>
      </c>
      <c r="H395">
        <v>8.2500000000000004E-2</v>
      </c>
      <c r="I395">
        <v>0.79</v>
      </c>
      <c r="J395">
        <v>2.12</v>
      </c>
      <c r="K395" t="b">
        <f t="shared" si="19"/>
        <v>1</v>
      </c>
      <c r="L395" t="b">
        <f t="shared" si="20"/>
        <v>1</v>
      </c>
    </row>
    <row r="396" spans="1:12" x14ac:dyDescent="0.3">
      <c r="A396" t="s">
        <v>409</v>
      </c>
      <c r="B396" t="s">
        <v>17</v>
      </c>
      <c r="C396">
        <v>32982770</v>
      </c>
      <c r="D396">
        <v>8078</v>
      </c>
      <c r="E396">
        <v>1646</v>
      </c>
      <c r="F396">
        <f t="shared" si="18"/>
        <v>4083.04</v>
      </c>
      <c r="G396">
        <v>59556633</v>
      </c>
      <c r="H396">
        <v>0.16589999999999999</v>
      </c>
      <c r="I396">
        <v>0.78</v>
      </c>
      <c r="J396">
        <v>1.81</v>
      </c>
      <c r="K396" t="b">
        <f t="shared" si="19"/>
        <v>1</v>
      </c>
      <c r="L396" t="b">
        <f t="shared" si="20"/>
        <v>1</v>
      </c>
    </row>
    <row r="397" spans="1:12" x14ac:dyDescent="0.3">
      <c r="A397" t="s">
        <v>410</v>
      </c>
      <c r="B397" t="s">
        <v>15</v>
      </c>
      <c r="C397">
        <v>20459112</v>
      </c>
      <c r="D397">
        <v>49080</v>
      </c>
      <c r="E397">
        <v>1100</v>
      </c>
      <c r="F397">
        <f t="shared" si="18"/>
        <v>416.85</v>
      </c>
      <c r="G397">
        <v>72742157</v>
      </c>
      <c r="H397">
        <v>0.1172</v>
      </c>
      <c r="I397">
        <v>0.67</v>
      </c>
      <c r="J397">
        <v>3.56</v>
      </c>
      <c r="K397" t="b">
        <f t="shared" si="19"/>
        <v>1</v>
      </c>
      <c r="L397" t="b">
        <f t="shared" si="20"/>
        <v>1</v>
      </c>
    </row>
    <row r="398" spans="1:12" x14ac:dyDescent="0.3">
      <c r="A398" t="s">
        <v>411</v>
      </c>
      <c r="B398" t="s">
        <v>19</v>
      </c>
      <c r="C398">
        <v>29190742</v>
      </c>
      <c r="D398">
        <v>30967</v>
      </c>
      <c r="E398">
        <v>2636</v>
      </c>
      <c r="F398">
        <f t="shared" si="18"/>
        <v>942.64</v>
      </c>
      <c r="G398">
        <v>93972340</v>
      </c>
      <c r="H398">
        <v>1.32E-2</v>
      </c>
      <c r="I398">
        <v>0.53</v>
      </c>
      <c r="J398">
        <v>3.22</v>
      </c>
      <c r="K398" t="b">
        <f t="shared" si="19"/>
        <v>1</v>
      </c>
      <c r="L398" t="b">
        <f t="shared" si="20"/>
        <v>1</v>
      </c>
    </row>
    <row r="399" spans="1:12" x14ac:dyDescent="0.3">
      <c r="A399" t="s">
        <v>412</v>
      </c>
      <c r="B399" t="s">
        <v>15</v>
      </c>
      <c r="C399">
        <v>12153072</v>
      </c>
      <c r="D399">
        <v>5616</v>
      </c>
      <c r="E399">
        <v>2240</v>
      </c>
      <c r="F399">
        <f t="shared" si="18"/>
        <v>2164.0100000000002</v>
      </c>
      <c r="G399">
        <v>55379582</v>
      </c>
      <c r="H399">
        <v>0.1132</v>
      </c>
      <c r="I399">
        <v>0.7</v>
      </c>
      <c r="J399">
        <v>4.5599999999999996</v>
      </c>
      <c r="K399" t="b">
        <f t="shared" si="19"/>
        <v>1</v>
      </c>
      <c r="L399" t="b">
        <f t="shared" si="20"/>
        <v>1</v>
      </c>
    </row>
    <row r="400" spans="1:12" x14ac:dyDescent="0.3">
      <c r="A400" t="s">
        <v>413</v>
      </c>
      <c r="B400" t="s">
        <v>11</v>
      </c>
      <c r="C400">
        <v>12620701</v>
      </c>
      <c r="D400">
        <v>28874</v>
      </c>
      <c r="E400">
        <v>2675</v>
      </c>
      <c r="F400">
        <f t="shared" si="18"/>
        <v>437.1</v>
      </c>
      <c r="G400">
        <v>42749984</v>
      </c>
      <c r="H400">
        <v>0.1895</v>
      </c>
      <c r="I400">
        <v>0.39</v>
      </c>
      <c r="J400">
        <v>3.39</v>
      </c>
      <c r="K400" t="b">
        <f t="shared" si="19"/>
        <v>1</v>
      </c>
      <c r="L400" t="b">
        <f t="shared" si="20"/>
        <v>1</v>
      </c>
    </row>
    <row r="401" spans="1:12" x14ac:dyDescent="0.3">
      <c r="A401" t="s">
        <v>414</v>
      </c>
      <c r="B401" t="s">
        <v>17</v>
      </c>
      <c r="C401">
        <v>47189012</v>
      </c>
      <c r="D401">
        <v>23986</v>
      </c>
      <c r="E401">
        <v>799</v>
      </c>
      <c r="F401">
        <f t="shared" si="18"/>
        <v>1967.36</v>
      </c>
      <c r="G401">
        <v>79092474</v>
      </c>
      <c r="H401">
        <v>2.87E-2</v>
      </c>
      <c r="I401">
        <v>0.44</v>
      </c>
      <c r="J401">
        <v>1.68</v>
      </c>
      <c r="K401" t="b">
        <f t="shared" si="19"/>
        <v>1</v>
      </c>
      <c r="L401" t="b">
        <f t="shared" si="20"/>
        <v>1</v>
      </c>
    </row>
    <row r="402" spans="1:12" x14ac:dyDescent="0.3">
      <c r="A402" t="s">
        <v>415</v>
      </c>
      <c r="B402" t="s">
        <v>13</v>
      </c>
      <c r="C402">
        <v>17335664</v>
      </c>
      <c r="D402">
        <v>8884</v>
      </c>
      <c r="E402">
        <v>1511</v>
      </c>
      <c r="F402">
        <f t="shared" si="18"/>
        <v>1951.34</v>
      </c>
      <c r="G402">
        <v>47186251</v>
      </c>
      <c r="H402">
        <v>0.1188</v>
      </c>
      <c r="I402">
        <v>0.55000000000000004</v>
      </c>
      <c r="J402">
        <v>2.72</v>
      </c>
      <c r="K402" t="b">
        <f t="shared" si="19"/>
        <v>1</v>
      </c>
      <c r="L402" t="b">
        <f t="shared" si="20"/>
        <v>1</v>
      </c>
    </row>
    <row r="403" spans="1:12" x14ac:dyDescent="0.3">
      <c r="A403" t="s">
        <v>416</v>
      </c>
      <c r="B403" t="s">
        <v>15</v>
      </c>
      <c r="C403">
        <v>9886194</v>
      </c>
      <c r="D403">
        <v>46097</v>
      </c>
      <c r="E403">
        <v>1102</v>
      </c>
      <c r="F403">
        <f t="shared" si="18"/>
        <v>214.47</v>
      </c>
      <c r="G403">
        <v>41856278</v>
      </c>
      <c r="H403">
        <v>1.4800000000000001E-2</v>
      </c>
      <c r="I403">
        <v>0.47</v>
      </c>
      <c r="J403">
        <v>4.2300000000000004</v>
      </c>
      <c r="K403" t="b">
        <f t="shared" si="19"/>
        <v>1</v>
      </c>
      <c r="L403" t="b">
        <f t="shared" si="20"/>
        <v>1</v>
      </c>
    </row>
    <row r="404" spans="1:12" x14ac:dyDescent="0.3">
      <c r="A404" t="s">
        <v>417</v>
      </c>
      <c r="B404" t="s">
        <v>13</v>
      </c>
      <c r="C404">
        <v>16973153</v>
      </c>
      <c r="D404">
        <v>11976</v>
      </c>
      <c r="E404">
        <v>409</v>
      </c>
      <c r="F404">
        <f t="shared" si="18"/>
        <v>1417.26</v>
      </c>
      <c r="G404">
        <v>75852013</v>
      </c>
      <c r="H404">
        <v>3.7199999999999997E-2</v>
      </c>
      <c r="I404">
        <v>0.22</v>
      </c>
      <c r="J404">
        <v>4.47</v>
      </c>
      <c r="K404" t="b">
        <f t="shared" si="19"/>
        <v>1</v>
      </c>
      <c r="L404" t="b">
        <f t="shared" si="20"/>
        <v>1</v>
      </c>
    </row>
    <row r="405" spans="1:12" x14ac:dyDescent="0.3">
      <c r="A405" t="s">
        <v>418</v>
      </c>
      <c r="B405" t="s">
        <v>17</v>
      </c>
      <c r="C405">
        <v>38145203</v>
      </c>
      <c r="D405">
        <v>7237</v>
      </c>
      <c r="E405">
        <v>1465</v>
      </c>
      <c r="F405">
        <f t="shared" si="18"/>
        <v>5270.86</v>
      </c>
      <c r="G405">
        <v>59026162</v>
      </c>
      <c r="H405">
        <v>6.4500000000000002E-2</v>
      </c>
      <c r="I405">
        <v>0.71</v>
      </c>
      <c r="J405">
        <v>1.55</v>
      </c>
      <c r="K405" t="b">
        <f t="shared" si="19"/>
        <v>1</v>
      </c>
      <c r="L405" t="b">
        <f t="shared" si="20"/>
        <v>1</v>
      </c>
    </row>
    <row r="406" spans="1:12" x14ac:dyDescent="0.3">
      <c r="A406" t="s">
        <v>419</v>
      </c>
      <c r="B406" t="s">
        <v>17</v>
      </c>
      <c r="C406">
        <v>37151425</v>
      </c>
      <c r="D406">
        <v>45457</v>
      </c>
      <c r="E406">
        <v>2603</v>
      </c>
      <c r="F406">
        <f t="shared" si="18"/>
        <v>817.29</v>
      </c>
      <c r="G406">
        <v>52358109</v>
      </c>
      <c r="H406">
        <v>0.18</v>
      </c>
      <c r="I406">
        <v>0.23</v>
      </c>
      <c r="J406">
        <v>1.41</v>
      </c>
      <c r="K406" t="b">
        <f t="shared" si="19"/>
        <v>1</v>
      </c>
      <c r="L406" t="b">
        <f t="shared" si="20"/>
        <v>1</v>
      </c>
    </row>
    <row r="407" spans="1:12" x14ac:dyDescent="0.3">
      <c r="A407" t="s">
        <v>420</v>
      </c>
      <c r="B407" t="s">
        <v>11</v>
      </c>
      <c r="C407">
        <v>32882824</v>
      </c>
      <c r="D407">
        <v>40957</v>
      </c>
      <c r="E407">
        <v>444</v>
      </c>
      <c r="F407">
        <f t="shared" si="18"/>
        <v>802.86</v>
      </c>
      <c r="G407">
        <v>26799216</v>
      </c>
      <c r="H407">
        <v>4.7899999999999998E-2</v>
      </c>
      <c r="I407">
        <v>0.31</v>
      </c>
      <c r="J407">
        <v>0.81</v>
      </c>
      <c r="K407" t="b">
        <f t="shared" si="19"/>
        <v>1</v>
      </c>
      <c r="L407" t="b">
        <f t="shared" si="20"/>
        <v>1</v>
      </c>
    </row>
    <row r="408" spans="1:12" x14ac:dyDescent="0.3">
      <c r="A408" t="s">
        <v>421</v>
      </c>
      <c r="B408" t="s">
        <v>11</v>
      </c>
      <c r="C408">
        <v>36208943</v>
      </c>
      <c r="D408">
        <v>4260</v>
      </c>
      <c r="E408">
        <v>1122</v>
      </c>
      <c r="F408">
        <f t="shared" si="18"/>
        <v>8499.75</v>
      </c>
      <c r="G408">
        <v>80142116</v>
      </c>
      <c r="H408">
        <v>3.1099999999999999E-2</v>
      </c>
      <c r="I408">
        <v>0.4</v>
      </c>
      <c r="J408">
        <v>2.21</v>
      </c>
      <c r="K408" t="b">
        <f t="shared" si="19"/>
        <v>1</v>
      </c>
      <c r="L408" t="b">
        <f t="shared" si="20"/>
        <v>1</v>
      </c>
    </row>
    <row r="409" spans="1:12" x14ac:dyDescent="0.3">
      <c r="A409" t="s">
        <v>422</v>
      </c>
      <c r="B409" t="s">
        <v>19</v>
      </c>
      <c r="C409">
        <v>27059446</v>
      </c>
      <c r="D409">
        <v>43453</v>
      </c>
      <c r="E409">
        <v>1381</v>
      </c>
      <c r="F409">
        <f t="shared" si="18"/>
        <v>622.73</v>
      </c>
      <c r="G409">
        <v>51610860</v>
      </c>
      <c r="H409">
        <v>2.8500000000000001E-2</v>
      </c>
      <c r="I409">
        <v>0.78</v>
      </c>
      <c r="J409">
        <v>1.91</v>
      </c>
      <c r="K409" t="b">
        <f t="shared" si="19"/>
        <v>1</v>
      </c>
      <c r="L409" t="b">
        <f t="shared" si="20"/>
        <v>1</v>
      </c>
    </row>
    <row r="410" spans="1:12" x14ac:dyDescent="0.3">
      <c r="A410" t="s">
        <v>423</v>
      </c>
      <c r="B410" t="s">
        <v>19</v>
      </c>
      <c r="C410">
        <v>38405472</v>
      </c>
      <c r="D410">
        <v>31215</v>
      </c>
      <c r="E410">
        <v>1690</v>
      </c>
      <c r="F410">
        <f t="shared" si="18"/>
        <v>1230.3499999999999</v>
      </c>
      <c r="G410">
        <v>22677057</v>
      </c>
      <c r="H410">
        <v>0.17649999999999999</v>
      </c>
      <c r="I410">
        <v>0.66</v>
      </c>
      <c r="J410">
        <v>0.59</v>
      </c>
      <c r="K410" t="b">
        <f t="shared" si="19"/>
        <v>1</v>
      </c>
      <c r="L410" t="b">
        <f t="shared" si="20"/>
        <v>1</v>
      </c>
    </row>
    <row r="411" spans="1:12" x14ac:dyDescent="0.3">
      <c r="A411" t="s">
        <v>424</v>
      </c>
      <c r="B411" t="s">
        <v>11</v>
      </c>
      <c r="C411">
        <v>33148824</v>
      </c>
      <c r="D411">
        <v>5662</v>
      </c>
      <c r="E411">
        <v>364</v>
      </c>
      <c r="F411">
        <f t="shared" si="18"/>
        <v>5854.61</v>
      </c>
      <c r="G411">
        <v>95819818</v>
      </c>
      <c r="H411">
        <v>8.3099999999999993E-2</v>
      </c>
      <c r="I411">
        <v>0.59</v>
      </c>
      <c r="J411">
        <v>2.89</v>
      </c>
      <c r="K411" t="b">
        <f t="shared" si="19"/>
        <v>1</v>
      </c>
      <c r="L411" t="b">
        <f t="shared" si="20"/>
        <v>1</v>
      </c>
    </row>
    <row r="412" spans="1:12" x14ac:dyDescent="0.3">
      <c r="A412" t="s">
        <v>425</v>
      </c>
      <c r="B412" t="s">
        <v>17</v>
      </c>
      <c r="C412">
        <v>36476144</v>
      </c>
      <c r="D412">
        <v>14487</v>
      </c>
      <c r="E412">
        <v>2900</v>
      </c>
      <c r="F412">
        <f t="shared" si="18"/>
        <v>2517.85</v>
      </c>
      <c r="G412">
        <v>81587086</v>
      </c>
      <c r="H412">
        <v>0.18210000000000001</v>
      </c>
      <c r="I412">
        <v>0.56999999999999995</v>
      </c>
      <c r="J412">
        <v>2.2400000000000002</v>
      </c>
      <c r="K412" t="b">
        <f t="shared" si="19"/>
        <v>1</v>
      </c>
      <c r="L412" t="b">
        <f t="shared" si="20"/>
        <v>1</v>
      </c>
    </row>
    <row r="413" spans="1:12" x14ac:dyDescent="0.3">
      <c r="A413" t="s">
        <v>426</v>
      </c>
      <c r="B413" t="s">
        <v>13</v>
      </c>
      <c r="C413">
        <v>8169692</v>
      </c>
      <c r="D413">
        <v>5421</v>
      </c>
      <c r="E413">
        <v>1206</v>
      </c>
      <c r="F413">
        <f t="shared" si="18"/>
        <v>1507.05</v>
      </c>
      <c r="G413">
        <v>60448551</v>
      </c>
      <c r="H413">
        <v>6.3399999999999998E-2</v>
      </c>
      <c r="I413">
        <v>0.35</v>
      </c>
      <c r="J413">
        <v>7.4</v>
      </c>
      <c r="K413" t="b">
        <f t="shared" si="19"/>
        <v>1</v>
      </c>
      <c r="L413" t="b">
        <f t="shared" si="20"/>
        <v>1</v>
      </c>
    </row>
    <row r="414" spans="1:12" x14ac:dyDescent="0.3">
      <c r="A414" t="s">
        <v>427</v>
      </c>
      <c r="B414" t="s">
        <v>13</v>
      </c>
      <c r="C414">
        <v>14492234</v>
      </c>
      <c r="D414">
        <v>1169</v>
      </c>
      <c r="E414">
        <v>402</v>
      </c>
      <c r="F414">
        <f t="shared" si="18"/>
        <v>12397.12</v>
      </c>
      <c r="G414">
        <v>32765505</v>
      </c>
      <c r="H414">
        <v>0.15709999999999999</v>
      </c>
      <c r="I414">
        <v>0.79</v>
      </c>
      <c r="J414">
        <v>2.2599999999999998</v>
      </c>
      <c r="K414" t="b">
        <f t="shared" si="19"/>
        <v>1</v>
      </c>
      <c r="L414" t="b">
        <f t="shared" si="20"/>
        <v>1</v>
      </c>
    </row>
    <row r="415" spans="1:12" x14ac:dyDescent="0.3">
      <c r="A415" t="s">
        <v>428</v>
      </c>
      <c r="B415" t="s">
        <v>17</v>
      </c>
      <c r="C415">
        <v>21415562</v>
      </c>
      <c r="D415">
        <v>12225</v>
      </c>
      <c r="E415">
        <v>153</v>
      </c>
      <c r="F415">
        <f t="shared" si="18"/>
        <v>1751.78</v>
      </c>
      <c r="G415">
        <v>52373776</v>
      </c>
      <c r="H415">
        <v>0.12039999999999999</v>
      </c>
      <c r="I415">
        <v>0.47</v>
      </c>
      <c r="J415">
        <v>2.4500000000000002</v>
      </c>
      <c r="K415" t="b">
        <f t="shared" si="19"/>
        <v>1</v>
      </c>
      <c r="L415" t="b">
        <f t="shared" si="20"/>
        <v>1</v>
      </c>
    </row>
    <row r="416" spans="1:12" x14ac:dyDescent="0.3">
      <c r="A416" t="s">
        <v>429</v>
      </c>
      <c r="B416" t="s">
        <v>19</v>
      </c>
      <c r="C416">
        <v>33366559</v>
      </c>
      <c r="D416">
        <v>45597</v>
      </c>
      <c r="E416">
        <v>824</v>
      </c>
      <c r="F416">
        <f t="shared" si="18"/>
        <v>731.77</v>
      </c>
      <c r="G416">
        <v>94116615</v>
      </c>
      <c r="H416">
        <v>1.8599999999999998E-2</v>
      </c>
      <c r="I416">
        <v>0.57999999999999996</v>
      </c>
      <c r="J416">
        <v>2.82</v>
      </c>
      <c r="K416" t="b">
        <f t="shared" si="19"/>
        <v>1</v>
      </c>
      <c r="L416" t="b">
        <f t="shared" si="20"/>
        <v>1</v>
      </c>
    </row>
    <row r="417" spans="1:12" x14ac:dyDescent="0.3">
      <c r="A417" t="s">
        <v>430</v>
      </c>
      <c r="B417" t="s">
        <v>17</v>
      </c>
      <c r="C417">
        <v>33840287</v>
      </c>
      <c r="D417">
        <v>36555</v>
      </c>
      <c r="E417">
        <v>1529</v>
      </c>
      <c r="F417">
        <f t="shared" si="18"/>
        <v>925.74</v>
      </c>
      <c r="G417">
        <v>96721423</v>
      </c>
      <c r="H417">
        <v>0.18390000000000001</v>
      </c>
      <c r="I417">
        <v>0.78</v>
      </c>
      <c r="J417">
        <v>2.86</v>
      </c>
      <c r="K417" t="b">
        <f t="shared" si="19"/>
        <v>1</v>
      </c>
      <c r="L417" t="b">
        <f t="shared" si="20"/>
        <v>1</v>
      </c>
    </row>
    <row r="418" spans="1:12" x14ac:dyDescent="0.3">
      <c r="A418" t="s">
        <v>431</v>
      </c>
      <c r="B418" t="s">
        <v>15</v>
      </c>
      <c r="C418">
        <v>6027738</v>
      </c>
      <c r="D418">
        <v>40609</v>
      </c>
      <c r="E418">
        <v>2666</v>
      </c>
      <c r="F418">
        <f t="shared" si="18"/>
        <v>148.43</v>
      </c>
      <c r="G418">
        <v>94854201</v>
      </c>
      <c r="H418">
        <v>6.7799999999999999E-2</v>
      </c>
      <c r="I418">
        <v>0.8</v>
      </c>
      <c r="J418">
        <v>15.74</v>
      </c>
      <c r="K418" t="b">
        <f t="shared" si="19"/>
        <v>1</v>
      </c>
      <c r="L418" t="b">
        <f t="shared" si="20"/>
        <v>1</v>
      </c>
    </row>
    <row r="419" spans="1:12" x14ac:dyDescent="0.3">
      <c r="A419" t="s">
        <v>432</v>
      </c>
      <c r="B419" t="s">
        <v>13</v>
      </c>
      <c r="C419">
        <v>7837233</v>
      </c>
      <c r="D419">
        <v>27496</v>
      </c>
      <c r="E419">
        <v>2614</v>
      </c>
      <c r="F419">
        <f t="shared" si="18"/>
        <v>285.02999999999997</v>
      </c>
      <c r="G419">
        <v>63145427</v>
      </c>
      <c r="H419">
        <v>6.6100000000000006E-2</v>
      </c>
      <c r="I419">
        <v>0.63</v>
      </c>
      <c r="J419">
        <v>8.06</v>
      </c>
      <c r="K419" t="b">
        <f t="shared" si="19"/>
        <v>1</v>
      </c>
      <c r="L419" t="b">
        <f t="shared" si="20"/>
        <v>1</v>
      </c>
    </row>
    <row r="420" spans="1:12" x14ac:dyDescent="0.3">
      <c r="A420" t="s">
        <v>433</v>
      </c>
      <c r="B420" t="s">
        <v>17</v>
      </c>
      <c r="C420">
        <v>38729730</v>
      </c>
      <c r="D420">
        <v>28251</v>
      </c>
      <c r="E420">
        <v>1486</v>
      </c>
      <c r="F420">
        <f t="shared" si="18"/>
        <v>1370.92</v>
      </c>
      <c r="G420">
        <v>71064632</v>
      </c>
      <c r="H420">
        <v>0.1</v>
      </c>
      <c r="I420">
        <v>0.77</v>
      </c>
      <c r="J420">
        <v>1.83</v>
      </c>
      <c r="K420" t="b">
        <f t="shared" si="19"/>
        <v>1</v>
      </c>
      <c r="L420" t="b">
        <f t="shared" si="20"/>
        <v>1</v>
      </c>
    </row>
    <row r="421" spans="1:12" x14ac:dyDescent="0.3">
      <c r="A421" t="s">
        <v>434</v>
      </c>
      <c r="B421" t="s">
        <v>19</v>
      </c>
      <c r="C421">
        <v>40075550</v>
      </c>
      <c r="D421">
        <v>14878</v>
      </c>
      <c r="E421">
        <v>218</v>
      </c>
      <c r="F421">
        <f t="shared" si="18"/>
        <v>2693.61</v>
      </c>
      <c r="G421">
        <v>99100602</v>
      </c>
      <c r="H421">
        <v>5.67E-2</v>
      </c>
      <c r="I421">
        <v>0.51</v>
      </c>
      <c r="J421">
        <v>2.4700000000000002</v>
      </c>
      <c r="K421" t="b">
        <f t="shared" si="19"/>
        <v>1</v>
      </c>
      <c r="L421" t="b">
        <f t="shared" si="20"/>
        <v>1</v>
      </c>
    </row>
    <row r="422" spans="1:12" x14ac:dyDescent="0.3">
      <c r="A422" t="s">
        <v>435</v>
      </c>
      <c r="B422" t="s">
        <v>17</v>
      </c>
      <c r="C422">
        <v>31280631</v>
      </c>
      <c r="D422">
        <v>22049</v>
      </c>
      <c r="E422">
        <v>2926</v>
      </c>
      <c r="F422">
        <f t="shared" si="18"/>
        <v>1418.69</v>
      </c>
      <c r="G422">
        <v>48654125</v>
      </c>
      <c r="H422">
        <v>0.13980000000000001</v>
      </c>
      <c r="I422">
        <v>0.41</v>
      </c>
      <c r="J422">
        <v>1.56</v>
      </c>
      <c r="K422" t="b">
        <f t="shared" si="19"/>
        <v>1</v>
      </c>
      <c r="L422" t="b">
        <f t="shared" si="20"/>
        <v>1</v>
      </c>
    </row>
    <row r="423" spans="1:12" x14ac:dyDescent="0.3">
      <c r="A423" t="s">
        <v>436</v>
      </c>
      <c r="B423" t="s">
        <v>15</v>
      </c>
      <c r="C423">
        <v>18789315</v>
      </c>
      <c r="D423">
        <v>5743</v>
      </c>
      <c r="E423">
        <v>168</v>
      </c>
      <c r="F423">
        <f t="shared" si="18"/>
        <v>3271.69</v>
      </c>
      <c r="G423">
        <v>59478421</v>
      </c>
      <c r="H423">
        <v>0.1095</v>
      </c>
      <c r="I423">
        <v>0.31</v>
      </c>
      <c r="J423">
        <v>3.17</v>
      </c>
      <c r="K423" t="b">
        <f t="shared" si="19"/>
        <v>1</v>
      </c>
      <c r="L423" t="b">
        <f t="shared" si="20"/>
        <v>1</v>
      </c>
    </row>
    <row r="424" spans="1:12" x14ac:dyDescent="0.3">
      <c r="A424" t="s">
        <v>437</v>
      </c>
      <c r="B424" t="s">
        <v>11</v>
      </c>
      <c r="C424">
        <v>21530792</v>
      </c>
      <c r="D424">
        <v>22317</v>
      </c>
      <c r="E424">
        <v>2459</v>
      </c>
      <c r="F424">
        <f t="shared" si="18"/>
        <v>964.77</v>
      </c>
      <c r="G424">
        <v>11052757</v>
      </c>
      <c r="H424">
        <v>2.3599999999999999E-2</v>
      </c>
      <c r="I424">
        <v>0.45</v>
      </c>
      <c r="J424">
        <v>0.51</v>
      </c>
      <c r="K424" t="b">
        <f t="shared" si="19"/>
        <v>1</v>
      </c>
      <c r="L424" t="b">
        <f t="shared" si="20"/>
        <v>1</v>
      </c>
    </row>
    <row r="425" spans="1:12" x14ac:dyDescent="0.3">
      <c r="A425" t="s">
        <v>438</v>
      </c>
      <c r="B425" t="s">
        <v>17</v>
      </c>
      <c r="C425">
        <v>13094722</v>
      </c>
      <c r="D425">
        <v>7019</v>
      </c>
      <c r="E425">
        <v>2487</v>
      </c>
      <c r="F425">
        <f t="shared" si="18"/>
        <v>1865.61</v>
      </c>
      <c r="G425">
        <v>62748535</v>
      </c>
      <c r="H425">
        <v>0.1014</v>
      </c>
      <c r="I425">
        <v>0.46</v>
      </c>
      <c r="J425">
        <v>4.79</v>
      </c>
      <c r="K425" t="b">
        <f t="shared" si="19"/>
        <v>1</v>
      </c>
      <c r="L425" t="b">
        <f t="shared" si="20"/>
        <v>1</v>
      </c>
    </row>
    <row r="426" spans="1:12" x14ac:dyDescent="0.3">
      <c r="A426" t="s">
        <v>439</v>
      </c>
      <c r="B426" t="s">
        <v>13</v>
      </c>
      <c r="C426">
        <v>25564145</v>
      </c>
      <c r="D426">
        <v>29809</v>
      </c>
      <c r="E426">
        <v>757</v>
      </c>
      <c r="F426">
        <f t="shared" si="18"/>
        <v>857.6</v>
      </c>
      <c r="G426">
        <v>68971275</v>
      </c>
      <c r="H426">
        <v>7.4899999999999994E-2</v>
      </c>
      <c r="I426">
        <v>0.27</v>
      </c>
      <c r="J426">
        <v>2.7</v>
      </c>
      <c r="K426" t="b">
        <f t="shared" si="19"/>
        <v>1</v>
      </c>
      <c r="L426" t="b">
        <f t="shared" si="20"/>
        <v>1</v>
      </c>
    </row>
    <row r="427" spans="1:12" x14ac:dyDescent="0.3">
      <c r="A427" t="s">
        <v>440</v>
      </c>
      <c r="B427" t="s">
        <v>15</v>
      </c>
      <c r="C427">
        <v>9828103</v>
      </c>
      <c r="D427">
        <v>38555</v>
      </c>
      <c r="E427">
        <v>2051</v>
      </c>
      <c r="F427">
        <f t="shared" si="18"/>
        <v>254.91</v>
      </c>
      <c r="G427">
        <v>54509004</v>
      </c>
      <c r="H427">
        <v>1.5100000000000001E-2</v>
      </c>
      <c r="I427">
        <v>0.28999999999999998</v>
      </c>
      <c r="J427">
        <v>5.55</v>
      </c>
      <c r="K427" t="b">
        <f t="shared" si="19"/>
        <v>1</v>
      </c>
      <c r="L427" t="b">
        <f t="shared" si="20"/>
        <v>1</v>
      </c>
    </row>
    <row r="428" spans="1:12" x14ac:dyDescent="0.3">
      <c r="A428" t="s">
        <v>441</v>
      </c>
      <c r="B428" t="s">
        <v>15</v>
      </c>
      <c r="C428">
        <v>33199785</v>
      </c>
      <c r="D428">
        <v>9229</v>
      </c>
      <c r="E428">
        <v>1544</v>
      </c>
      <c r="F428">
        <f t="shared" si="18"/>
        <v>3597.33</v>
      </c>
      <c r="G428">
        <v>90757008</v>
      </c>
      <c r="H428">
        <v>0.15740000000000001</v>
      </c>
      <c r="I428">
        <v>0.68</v>
      </c>
      <c r="J428">
        <v>2.73</v>
      </c>
      <c r="K428" t="b">
        <f t="shared" si="19"/>
        <v>1</v>
      </c>
      <c r="L428" t="b">
        <f t="shared" si="20"/>
        <v>1</v>
      </c>
    </row>
    <row r="429" spans="1:12" x14ac:dyDescent="0.3">
      <c r="A429" t="s">
        <v>442</v>
      </c>
      <c r="B429" t="s">
        <v>15</v>
      </c>
      <c r="C429">
        <v>15654258</v>
      </c>
      <c r="D429">
        <v>41382</v>
      </c>
      <c r="E429">
        <v>1279</v>
      </c>
      <c r="F429">
        <f t="shared" si="18"/>
        <v>378.29</v>
      </c>
      <c r="G429">
        <v>26195296</v>
      </c>
      <c r="H429">
        <v>6.4500000000000002E-2</v>
      </c>
      <c r="I429">
        <v>0.52</v>
      </c>
      <c r="J429">
        <v>1.67</v>
      </c>
      <c r="K429" t="b">
        <f t="shared" si="19"/>
        <v>1</v>
      </c>
      <c r="L429" t="b">
        <f t="shared" si="20"/>
        <v>1</v>
      </c>
    </row>
    <row r="430" spans="1:12" x14ac:dyDescent="0.3">
      <c r="A430" t="s">
        <v>443</v>
      </c>
      <c r="B430" t="s">
        <v>15</v>
      </c>
      <c r="C430">
        <v>44426829</v>
      </c>
      <c r="D430">
        <v>16053</v>
      </c>
      <c r="E430">
        <v>2274</v>
      </c>
      <c r="F430">
        <f t="shared" si="18"/>
        <v>2767.51</v>
      </c>
      <c r="G430">
        <v>17701068</v>
      </c>
      <c r="H430">
        <v>0.1578</v>
      </c>
      <c r="I430">
        <v>0.43</v>
      </c>
      <c r="J430">
        <v>0.4</v>
      </c>
      <c r="K430" t="b">
        <f t="shared" si="19"/>
        <v>1</v>
      </c>
      <c r="L430" t="b">
        <f t="shared" si="20"/>
        <v>1</v>
      </c>
    </row>
    <row r="431" spans="1:12" x14ac:dyDescent="0.3">
      <c r="A431" t="s">
        <v>444</v>
      </c>
      <c r="B431" t="s">
        <v>11</v>
      </c>
      <c r="C431">
        <v>7651378</v>
      </c>
      <c r="D431">
        <v>36178</v>
      </c>
      <c r="E431">
        <v>2179</v>
      </c>
      <c r="F431">
        <f t="shared" si="18"/>
        <v>211.49</v>
      </c>
      <c r="G431">
        <v>63071269</v>
      </c>
      <c r="H431">
        <v>2.9399999999999999E-2</v>
      </c>
      <c r="I431">
        <v>0.25</v>
      </c>
      <c r="J431">
        <v>8.24</v>
      </c>
      <c r="K431" t="b">
        <f t="shared" si="19"/>
        <v>1</v>
      </c>
      <c r="L431" t="b">
        <f t="shared" si="20"/>
        <v>1</v>
      </c>
    </row>
    <row r="432" spans="1:12" x14ac:dyDescent="0.3">
      <c r="A432" t="s">
        <v>445</v>
      </c>
      <c r="B432" t="s">
        <v>11</v>
      </c>
      <c r="C432">
        <v>24605193</v>
      </c>
      <c r="D432">
        <v>26739</v>
      </c>
      <c r="E432">
        <v>2729</v>
      </c>
      <c r="F432">
        <f t="shared" si="18"/>
        <v>920.2</v>
      </c>
      <c r="G432">
        <v>51688264</v>
      </c>
      <c r="H432">
        <v>0.14630000000000001</v>
      </c>
      <c r="I432">
        <v>0.3</v>
      </c>
      <c r="J432">
        <v>2.1</v>
      </c>
      <c r="K432" t="b">
        <f t="shared" si="19"/>
        <v>1</v>
      </c>
      <c r="L432" t="b">
        <f t="shared" si="20"/>
        <v>1</v>
      </c>
    </row>
    <row r="433" spans="1:12" x14ac:dyDescent="0.3">
      <c r="A433" t="s">
        <v>446</v>
      </c>
      <c r="B433" t="s">
        <v>13</v>
      </c>
      <c r="C433">
        <v>25529339</v>
      </c>
      <c r="D433">
        <v>47177</v>
      </c>
      <c r="E433">
        <v>1505</v>
      </c>
      <c r="F433">
        <f t="shared" si="18"/>
        <v>541.14</v>
      </c>
      <c r="G433">
        <v>39429341</v>
      </c>
      <c r="H433">
        <v>3.9300000000000002E-2</v>
      </c>
      <c r="I433">
        <v>0.75</v>
      </c>
      <c r="J433">
        <v>1.54</v>
      </c>
      <c r="K433" t="b">
        <f t="shared" si="19"/>
        <v>1</v>
      </c>
      <c r="L433" t="b">
        <f t="shared" si="20"/>
        <v>1</v>
      </c>
    </row>
    <row r="434" spans="1:12" x14ac:dyDescent="0.3">
      <c r="A434" t="s">
        <v>447</v>
      </c>
      <c r="B434" t="s">
        <v>17</v>
      </c>
      <c r="C434">
        <v>47009943</v>
      </c>
      <c r="D434">
        <v>24597</v>
      </c>
      <c r="E434">
        <v>1679</v>
      </c>
      <c r="F434">
        <f t="shared" si="18"/>
        <v>1911.21</v>
      </c>
      <c r="G434">
        <v>38457196</v>
      </c>
      <c r="H434">
        <v>7.8399999999999997E-2</v>
      </c>
      <c r="I434">
        <v>0.66</v>
      </c>
      <c r="J434">
        <v>0.82</v>
      </c>
      <c r="K434" t="b">
        <f t="shared" si="19"/>
        <v>1</v>
      </c>
      <c r="L434" t="b">
        <f t="shared" si="20"/>
        <v>1</v>
      </c>
    </row>
    <row r="435" spans="1:12" x14ac:dyDescent="0.3">
      <c r="A435" t="s">
        <v>448</v>
      </c>
      <c r="B435" t="s">
        <v>15</v>
      </c>
      <c r="C435">
        <v>17252415</v>
      </c>
      <c r="D435">
        <v>20774</v>
      </c>
      <c r="E435">
        <v>1765</v>
      </c>
      <c r="F435">
        <f t="shared" si="18"/>
        <v>830.48</v>
      </c>
      <c r="G435">
        <v>77684466</v>
      </c>
      <c r="H435">
        <v>0.15679999999999999</v>
      </c>
      <c r="I435">
        <v>0.76</v>
      </c>
      <c r="J435">
        <v>4.5</v>
      </c>
      <c r="K435" t="b">
        <f t="shared" si="19"/>
        <v>1</v>
      </c>
      <c r="L435" t="b">
        <f t="shared" si="20"/>
        <v>1</v>
      </c>
    </row>
    <row r="436" spans="1:12" x14ac:dyDescent="0.3">
      <c r="A436" t="s">
        <v>449</v>
      </c>
      <c r="B436" t="s">
        <v>15</v>
      </c>
      <c r="C436">
        <v>37313708</v>
      </c>
      <c r="D436">
        <v>11764</v>
      </c>
      <c r="E436">
        <v>2469</v>
      </c>
      <c r="F436">
        <f t="shared" si="18"/>
        <v>3171.86</v>
      </c>
      <c r="G436">
        <v>75186604</v>
      </c>
      <c r="H436">
        <v>0.1363</v>
      </c>
      <c r="I436">
        <v>0.44</v>
      </c>
      <c r="J436">
        <v>2.0099999999999998</v>
      </c>
      <c r="K436" t="b">
        <f t="shared" si="19"/>
        <v>1</v>
      </c>
      <c r="L436" t="b">
        <f t="shared" si="20"/>
        <v>1</v>
      </c>
    </row>
    <row r="437" spans="1:12" x14ac:dyDescent="0.3">
      <c r="A437" t="s">
        <v>450</v>
      </c>
      <c r="B437" t="s">
        <v>13</v>
      </c>
      <c r="C437">
        <v>11318562</v>
      </c>
      <c r="D437">
        <v>45418</v>
      </c>
      <c r="E437">
        <v>554</v>
      </c>
      <c r="F437">
        <f t="shared" si="18"/>
        <v>249.21</v>
      </c>
      <c r="G437">
        <v>60083523</v>
      </c>
      <c r="H437">
        <v>0.18429999999999999</v>
      </c>
      <c r="I437">
        <v>0.41</v>
      </c>
      <c r="J437">
        <v>5.31</v>
      </c>
      <c r="K437" t="b">
        <f t="shared" si="19"/>
        <v>1</v>
      </c>
      <c r="L437" t="b">
        <f t="shared" si="20"/>
        <v>1</v>
      </c>
    </row>
    <row r="438" spans="1:12" x14ac:dyDescent="0.3">
      <c r="A438" t="s">
        <v>451</v>
      </c>
      <c r="B438" t="s">
        <v>17</v>
      </c>
      <c r="C438">
        <v>46454855</v>
      </c>
      <c r="D438">
        <v>46019</v>
      </c>
      <c r="E438">
        <v>2922</v>
      </c>
      <c r="F438">
        <f t="shared" si="18"/>
        <v>1009.47</v>
      </c>
      <c r="G438">
        <v>50850132</v>
      </c>
      <c r="H438">
        <v>3.0700000000000002E-2</v>
      </c>
      <c r="I438">
        <v>0.55000000000000004</v>
      </c>
      <c r="J438">
        <v>1.0900000000000001</v>
      </c>
      <c r="K438" t="b">
        <f t="shared" si="19"/>
        <v>1</v>
      </c>
      <c r="L438" t="b">
        <f t="shared" si="20"/>
        <v>1</v>
      </c>
    </row>
    <row r="439" spans="1:12" x14ac:dyDescent="0.3">
      <c r="A439" t="s">
        <v>452</v>
      </c>
      <c r="B439" t="s">
        <v>17</v>
      </c>
      <c r="C439">
        <v>36395605</v>
      </c>
      <c r="D439">
        <v>20561</v>
      </c>
      <c r="E439">
        <v>1961</v>
      </c>
      <c r="F439">
        <f t="shared" ref="F439:F485" si="21">IF(D439 = 0,FALSE,ROUND(C439/D439,2))</f>
        <v>1770.13</v>
      </c>
      <c r="G439">
        <v>52915847</v>
      </c>
      <c r="H439">
        <v>8.1500000000000003E-2</v>
      </c>
      <c r="I439">
        <v>0.78</v>
      </c>
      <c r="J439">
        <v>1.45</v>
      </c>
      <c r="K439" t="b">
        <f t="shared" ref="K439:K485" si="22" xml:space="preserve"> IF(E439&gt;D439,FALSE,TRUE)</f>
        <v>1</v>
      </c>
      <c r="L439" t="b">
        <f t="shared" si="20"/>
        <v>1</v>
      </c>
    </row>
    <row r="440" spans="1:12" x14ac:dyDescent="0.3">
      <c r="A440" t="s">
        <v>453</v>
      </c>
      <c r="B440" t="s">
        <v>17</v>
      </c>
      <c r="C440">
        <v>5175945</v>
      </c>
      <c r="D440">
        <v>24955</v>
      </c>
      <c r="E440">
        <v>611</v>
      </c>
      <c r="F440">
        <f t="shared" si="21"/>
        <v>207.41</v>
      </c>
      <c r="G440">
        <v>43466045</v>
      </c>
      <c r="H440">
        <v>0.15759999999999999</v>
      </c>
      <c r="I440">
        <v>0.25</v>
      </c>
      <c r="J440">
        <v>8.4</v>
      </c>
      <c r="K440" t="b">
        <f t="shared" si="22"/>
        <v>1</v>
      </c>
      <c r="L440" t="b">
        <f t="shared" si="20"/>
        <v>1</v>
      </c>
    </row>
    <row r="441" spans="1:12" x14ac:dyDescent="0.3">
      <c r="A441" t="s">
        <v>454</v>
      </c>
      <c r="B441" t="s">
        <v>13</v>
      </c>
      <c r="C441">
        <v>35303638</v>
      </c>
      <c r="D441">
        <v>41145</v>
      </c>
      <c r="E441">
        <v>2509</v>
      </c>
      <c r="F441">
        <f t="shared" si="21"/>
        <v>858.03</v>
      </c>
      <c r="G441">
        <v>78404030</v>
      </c>
      <c r="H441">
        <v>0.1696</v>
      </c>
      <c r="I441">
        <v>0.49</v>
      </c>
      <c r="J441">
        <v>2.2200000000000002</v>
      </c>
      <c r="K441" t="b">
        <f t="shared" si="22"/>
        <v>1</v>
      </c>
      <c r="L441" t="b">
        <f t="shared" si="20"/>
        <v>1</v>
      </c>
    </row>
    <row r="442" spans="1:12" x14ac:dyDescent="0.3">
      <c r="A442" t="s">
        <v>455</v>
      </c>
      <c r="B442" t="s">
        <v>11</v>
      </c>
      <c r="C442">
        <v>36708027</v>
      </c>
      <c r="D442">
        <v>21962</v>
      </c>
      <c r="E442">
        <v>153</v>
      </c>
      <c r="F442">
        <f t="shared" si="21"/>
        <v>1671.43</v>
      </c>
      <c r="G442">
        <v>13319633</v>
      </c>
      <c r="H442">
        <v>0.12570000000000001</v>
      </c>
      <c r="I442">
        <v>0.65</v>
      </c>
      <c r="J442">
        <v>0.36</v>
      </c>
      <c r="K442" t="b">
        <f t="shared" si="22"/>
        <v>1</v>
      </c>
      <c r="L442" t="b">
        <f t="shared" ref="L442:L485" si="23">IF(E442/D442*100&gt;50,FALSE,TRUE)</f>
        <v>1</v>
      </c>
    </row>
    <row r="443" spans="1:12" x14ac:dyDescent="0.3">
      <c r="A443" t="s">
        <v>456</v>
      </c>
      <c r="B443" t="s">
        <v>17</v>
      </c>
      <c r="C443">
        <v>39613365</v>
      </c>
      <c r="D443">
        <v>34777</v>
      </c>
      <c r="E443">
        <v>2044</v>
      </c>
      <c r="F443">
        <f t="shared" si="21"/>
        <v>1139.07</v>
      </c>
      <c r="G443">
        <v>69230203</v>
      </c>
      <c r="H443">
        <v>8.09E-2</v>
      </c>
      <c r="I443">
        <v>0.26</v>
      </c>
      <c r="J443">
        <v>1.75</v>
      </c>
      <c r="K443" t="b">
        <f t="shared" si="22"/>
        <v>1</v>
      </c>
      <c r="L443" t="b">
        <f t="shared" si="23"/>
        <v>1</v>
      </c>
    </row>
    <row r="444" spans="1:12" x14ac:dyDescent="0.3">
      <c r="A444" t="s">
        <v>457</v>
      </c>
      <c r="B444" t="s">
        <v>19</v>
      </c>
      <c r="C444">
        <v>38642551</v>
      </c>
      <c r="D444">
        <v>8473</v>
      </c>
      <c r="E444">
        <v>2629</v>
      </c>
      <c r="F444">
        <f t="shared" si="21"/>
        <v>4560.67</v>
      </c>
      <c r="G444">
        <v>40418525</v>
      </c>
      <c r="H444">
        <v>0.12709999999999999</v>
      </c>
      <c r="I444">
        <v>0.21</v>
      </c>
      <c r="J444">
        <v>1.05</v>
      </c>
      <c r="K444" t="b">
        <f t="shared" si="22"/>
        <v>1</v>
      </c>
      <c r="L444" t="b">
        <f t="shared" si="23"/>
        <v>1</v>
      </c>
    </row>
    <row r="445" spans="1:12" x14ac:dyDescent="0.3">
      <c r="A445" t="s">
        <v>458</v>
      </c>
      <c r="B445" t="s">
        <v>17</v>
      </c>
      <c r="C445">
        <v>40223888</v>
      </c>
      <c r="D445">
        <v>42916</v>
      </c>
      <c r="E445">
        <v>2406</v>
      </c>
      <c r="F445">
        <f t="shared" si="21"/>
        <v>937.27</v>
      </c>
      <c r="G445">
        <v>49688169</v>
      </c>
      <c r="H445">
        <v>1.7399999999999999E-2</v>
      </c>
      <c r="I445">
        <v>0.69</v>
      </c>
      <c r="J445">
        <v>1.24</v>
      </c>
      <c r="K445" t="b">
        <f t="shared" si="22"/>
        <v>1</v>
      </c>
      <c r="L445" t="b">
        <f t="shared" si="23"/>
        <v>1</v>
      </c>
    </row>
    <row r="446" spans="1:12" x14ac:dyDescent="0.3">
      <c r="A446" t="s">
        <v>459</v>
      </c>
      <c r="B446" t="s">
        <v>15</v>
      </c>
      <c r="C446">
        <v>13286594</v>
      </c>
      <c r="D446">
        <v>32816</v>
      </c>
      <c r="E446">
        <v>2134</v>
      </c>
      <c r="F446">
        <f t="shared" si="21"/>
        <v>404.88</v>
      </c>
      <c r="G446">
        <v>42249891</v>
      </c>
      <c r="H446">
        <v>8.6599999999999996E-2</v>
      </c>
      <c r="I446">
        <v>0.27</v>
      </c>
      <c r="J446">
        <v>3.18</v>
      </c>
      <c r="K446" t="b">
        <f t="shared" si="22"/>
        <v>1</v>
      </c>
      <c r="L446" t="b">
        <f t="shared" si="23"/>
        <v>1</v>
      </c>
    </row>
    <row r="447" spans="1:12" x14ac:dyDescent="0.3">
      <c r="A447" t="s">
        <v>460</v>
      </c>
      <c r="B447" t="s">
        <v>17</v>
      </c>
      <c r="C447">
        <v>25165397</v>
      </c>
      <c r="D447">
        <v>4514</v>
      </c>
      <c r="E447">
        <v>922</v>
      </c>
      <c r="F447">
        <f t="shared" si="21"/>
        <v>5574.97</v>
      </c>
      <c r="G447">
        <v>45852336</v>
      </c>
      <c r="H447">
        <v>0.1633</v>
      </c>
      <c r="I447">
        <v>0.68</v>
      </c>
      <c r="J447">
        <v>1.82</v>
      </c>
      <c r="K447" t="b">
        <f t="shared" si="22"/>
        <v>1</v>
      </c>
      <c r="L447" t="b">
        <f t="shared" si="23"/>
        <v>1</v>
      </c>
    </row>
    <row r="448" spans="1:12" x14ac:dyDescent="0.3">
      <c r="A448" t="s">
        <v>461</v>
      </c>
      <c r="B448" t="s">
        <v>11</v>
      </c>
      <c r="C448">
        <v>5543863</v>
      </c>
      <c r="D448">
        <v>21938</v>
      </c>
      <c r="E448">
        <v>2429</v>
      </c>
      <c r="F448">
        <f t="shared" si="21"/>
        <v>252.71</v>
      </c>
      <c r="G448">
        <v>11221737</v>
      </c>
      <c r="H448">
        <v>0.1396</v>
      </c>
      <c r="I448">
        <v>0.5</v>
      </c>
      <c r="J448">
        <v>2.02</v>
      </c>
      <c r="K448" t="b">
        <f t="shared" si="22"/>
        <v>1</v>
      </c>
      <c r="L448" t="b">
        <f t="shared" si="23"/>
        <v>1</v>
      </c>
    </row>
    <row r="449" spans="1:12" x14ac:dyDescent="0.3">
      <c r="A449" t="s">
        <v>462</v>
      </c>
      <c r="B449" t="s">
        <v>13</v>
      </c>
      <c r="C449">
        <v>38466024</v>
      </c>
      <c r="D449">
        <v>26770</v>
      </c>
      <c r="E449">
        <v>1689</v>
      </c>
      <c r="F449">
        <f t="shared" si="21"/>
        <v>1436.91</v>
      </c>
      <c r="G449">
        <v>94554300</v>
      </c>
      <c r="H449">
        <v>0.18970000000000001</v>
      </c>
      <c r="I449">
        <v>0.57999999999999996</v>
      </c>
      <c r="J449">
        <v>2.46</v>
      </c>
      <c r="K449" t="b">
        <f t="shared" si="22"/>
        <v>1</v>
      </c>
      <c r="L449" t="b">
        <f t="shared" si="23"/>
        <v>1</v>
      </c>
    </row>
    <row r="450" spans="1:12" x14ac:dyDescent="0.3">
      <c r="A450" t="s">
        <v>463</v>
      </c>
      <c r="B450" t="s">
        <v>17</v>
      </c>
      <c r="C450">
        <v>19279245</v>
      </c>
      <c r="D450">
        <v>4328</v>
      </c>
      <c r="E450">
        <v>234</v>
      </c>
      <c r="F450">
        <f t="shared" si="21"/>
        <v>4454.54</v>
      </c>
      <c r="G450">
        <v>67855510</v>
      </c>
      <c r="H450">
        <v>9.4500000000000001E-2</v>
      </c>
      <c r="I450">
        <v>0.54</v>
      </c>
      <c r="J450">
        <v>3.52</v>
      </c>
      <c r="K450" t="b">
        <f t="shared" si="22"/>
        <v>1</v>
      </c>
      <c r="L450" t="b">
        <f t="shared" si="23"/>
        <v>1</v>
      </c>
    </row>
    <row r="451" spans="1:12" x14ac:dyDescent="0.3">
      <c r="A451" t="s">
        <v>464</v>
      </c>
      <c r="B451" t="s">
        <v>11</v>
      </c>
      <c r="C451">
        <v>44590366</v>
      </c>
      <c r="D451">
        <v>48094</v>
      </c>
      <c r="E451">
        <v>2525</v>
      </c>
      <c r="F451">
        <f t="shared" si="21"/>
        <v>927.15</v>
      </c>
      <c r="G451">
        <v>89157341</v>
      </c>
      <c r="H451">
        <v>7.0499999999999993E-2</v>
      </c>
      <c r="I451">
        <v>0.7</v>
      </c>
      <c r="J451">
        <v>2</v>
      </c>
      <c r="K451" t="b">
        <f t="shared" si="22"/>
        <v>1</v>
      </c>
      <c r="L451" t="b">
        <f t="shared" si="23"/>
        <v>1</v>
      </c>
    </row>
    <row r="452" spans="1:12" x14ac:dyDescent="0.3">
      <c r="A452" t="s">
        <v>465</v>
      </c>
      <c r="B452" t="s">
        <v>17</v>
      </c>
      <c r="C452">
        <v>44029469</v>
      </c>
      <c r="D452">
        <v>24818</v>
      </c>
      <c r="E452">
        <v>2800</v>
      </c>
      <c r="F452">
        <f t="shared" si="21"/>
        <v>1774.09</v>
      </c>
      <c r="G452">
        <v>16328939</v>
      </c>
      <c r="H452">
        <v>7.5300000000000006E-2</v>
      </c>
      <c r="I452">
        <v>0.47</v>
      </c>
      <c r="J452">
        <v>0.37</v>
      </c>
      <c r="K452" t="b">
        <f t="shared" si="22"/>
        <v>1</v>
      </c>
      <c r="L452" t="b">
        <f t="shared" si="23"/>
        <v>1</v>
      </c>
    </row>
    <row r="453" spans="1:12" x14ac:dyDescent="0.3">
      <c r="A453" t="s">
        <v>466</v>
      </c>
      <c r="B453" t="s">
        <v>13</v>
      </c>
      <c r="C453">
        <v>8304157</v>
      </c>
      <c r="D453">
        <v>33227</v>
      </c>
      <c r="E453">
        <v>2158</v>
      </c>
      <c r="F453">
        <f t="shared" si="21"/>
        <v>249.92</v>
      </c>
      <c r="G453">
        <v>13566367</v>
      </c>
      <c r="H453">
        <v>0.16930000000000001</v>
      </c>
      <c r="I453">
        <v>0.62</v>
      </c>
      <c r="J453">
        <v>1.63</v>
      </c>
      <c r="K453" t="b">
        <f t="shared" si="22"/>
        <v>1</v>
      </c>
      <c r="L453" t="b">
        <f t="shared" si="23"/>
        <v>1</v>
      </c>
    </row>
    <row r="454" spans="1:12" x14ac:dyDescent="0.3">
      <c r="A454" t="s">
        <v>467</v>
      </c>
      <c r="B454" t="s">
        <v>19</v>
      </c>
      <c r="C454">
        <v>15644771</v>
      </c>
      <c r="D454">
        <v>33047</v>
      </c>
      <c r="E454">
        <v>1171</v>
      </c>
      <c r="F454">
        <f t="shared" si="21"/>
        <v>473.41</v>
      </c>
      <c r="G454">
        <v>63286681</v>
      </c>
      <c r="H454">
        <v>7.9100000000000004E-2</v>
      </c>
      <c r="I454">
        <v>0.49</v>
      </c>
      <c r="J454">
        <v>4.05</v>
      </c>
      <c r="K454" t="b">
        <f t="shared" si="22"/>
        <v>1</v>
      </c>
      <c r="L454" t="b">
        <f t="shared" si="23"/>
        <v>1</v>
      </c>
    </row>
    <row r="455" spans="1:12" x14ac:dyDescent="0.3">
      <c r="A455" t="s">
        <v>468</v>
      </c>
      <c r="B455" t="s">
        <v>13</v>
      </c>
      <c r="C455">
        <v>34341585</v>
      </c>
      <c r="D455">
        <v>6827</v>
      </c>
      <c r="E455">
        <v>2942</v>
      </c>
      <c r="F455">
        <f t="shared" si="21"/>
        <v>5030.26</v>
      </c>
      <c r="G455">
        <v>21933081</v>
      </c>
      <c r="H455">
        <v>5.8000000000000003E-2</v>
      </c>
      <c r="I455">
        <v>0.32</v>
      </c>
      <c r="J455">
        <v>0.64</v>
      </c>
      <c r="K455" t="b">
        <f t="shared" si="22"/>
        <v>1</v>
      </c>
      <c r="L455" t="b">
        <f t="shared" si="23"/>
        <v>1</v>
      </c>
    </row>
    <row r="456" spans="1:12" x14ac:dyDescent="0.3">
      <c r="A456" t="s">
        <v>469</v>
      </c>
      <c r="B456" t="s">
        <v>17</v>
      </c>
      <c r="C456">
        <v>13935589</v>
      </c>
      <c r="D456">
        <v>9392</v>
      </c>
      <c r="E456">
        <v>96</v>
      </c>
      <c r="F456">
        <f t="shared" si="21"/>
        <v>1483.77</v>
      </c>
      <c r="G456">
        <v>68592195</v>
      </c>
      <c r="H456">
        <v>0.19059999999999999</v>
      </c>
      <c r="I456">
        <v>0.57999999999999996</v>
      </c>
      <c r="J456">
        <v>4.92</v>
      </c>
      <c r="K456" t="b">
        <f t="shared" si="22"/>
        <v>1</v>
      </c>
      <c r="L456" t="b">
        <f t="shared" si="23"/>
        <v>1</v>
      </c>
    </row>
    <row r="457" spans="1:12" x14ac:dyDescent="0.3">
      <c r="A457" t="s">
        <v>470</v>
      </c>
      <c r="B457" t="s">
        <v>15</v>
      </c>
      <c r="C457">
        <v>14610544</v>
      </c>
      <c r="D457">
        <v>29805</v>
      </c>
      <c r="E457">
        <v>2715</v>
      </c>
      <c r="F457">
        <f t="shared" si="21"/>
        <v>490.2</v>
      </c>
      <c r="G457">
        <v>50746544</v>
      </c>
      <c r="H457">
        <v>5.5399999999999998E-2</v>
      </c>
      <c r="I457">
        <v>0.28999999999999998</v>
      </c>
      <c r="J457">
        <v>3.47</v>
      </c>
      <c r="K457" t="b">
        <f t="shared" si="22"/>
        <v>1</v>
      </c>
      <c r="L457" t="b">
        <f t="shared" si="23"/>
        <v>1</v>
      </c>
    </row>
    <row r="458" spans="1:12" x14ac:dyDescent="0.3">
      <c r="A458" t="s">
        <v>471</v>
      </c>
      <c r="B458" t="s">
        <v>17</v>
      </c>
      <c r="C458">
        <v>44929945</v>
      </c>
      <c r="D458">
        <v>41689</v>
      </c>
      <c r="E458">
        <v>1254</v>
      </c>
      <c r="F458">
        <f t="shared" si="21"/>
        <v>1077.74</v>
      </c>
      <c r="G458">
        <v>11348959</v>
      </c>
      <c r="H458">
        <v>0.15279999999999999</v>
      </c>
      <c r="I458">
        <v>0.36</v>
      </c>
      <c r="J458">
        <v>0.25</v>
      </c>
      <c r="K458" t="b">
        <f t="shared" si="22"/>
        <v>1</v>
      </c>
      <c r="L458" t="b">
        <f t="shared" si="23"/>
        <v>1</v>
      </c>
    </row>
    <row r="459" spans="1:12" x14ac:dyDescent="0.3">
      <c r="A459" t="s">
        <v>472</v>
      </c>
      <c r="B459" t="s">
        <v>15</v>
      </c>
      <c r="C459">
        <v>30296129</v>
      </c>
      <c r="D459">
        <v>39223</v>
      </c>
      <c r="E459">
        <v>2208</v>
      </c>
      <c r="F459">
        <f t="shared" si="21"/>
        <v>772.41</v>
      </c>
      <c r="G459">
        <v>46151047</v>
      </c>
      <c r="H459">
        <v>0.13</v>
      </c>
      <c r="I459">
        <v>0.65</v>
      </c>
      <c r="J459">
        <v>1.52</v>
      </c>
      <c r="K459" t="b">
        <f t="shared" si="22"/>
        <v>1</v>
      </c>
      <c r="L459" t="b">
        <f t="shared" si="23"/>
        <v>1</v>
      </c>
    </row>
    <row r="460" spans="1:12" x14ac:dyDescent="0.3">
      <c r="A460" t="s">
        <v>473</v>
      </c>
      <c r="B460" t="s">
        <v>11</v>
      </c>
      <c r="C460">
        <v>44603481</v>
      </c>
      <c r="D460">
        <v>25991</v>
      </c>
      <c r="E460">
        <v>2995</v>
      </c>
      <c r="F460">
        <f t="shared" si="21"/>
        <v>1716.11</v>
      </c>
      <c r="G460">
        <v>56853328</v>
      </c>
      <c r="H460">
        <v>0.1133</v>
      </c>
      <c r="I460">
        <v>0.75</v>
      </c>
      <c r="J460">
        <v>1.27</v>
      </c>
      <c r="K460" t="b">
        <f t="shared" si="22"/>
        <v>1</v>
      </c>
      <c r="L460" t="b">
        <f t="shared" si="23"/>
        <v>1</v>
      </c>
    </row>
    <row r="461" spans="1:12" x14ac:dyDescent="0.3">
      <c r="A461" t="s">
        <v>474</v>
      </c>
      <c r="B461" t="s">
        <v>13</v>
      </c>
      <c r="C461">
        <v>9605555</v>
      </c>
      <c r="D461">
        <v>30533</v>
      </c>
      <c r="E461">
        <v>1198</v>
      </c>
      <c r="F461">
        <f t="shared" si="21"/>
        <v>314.60000000000002</v>
      </c>
      <c r="G461">
        <v>83057804</v>
      </c>
      <c r="H461">
        <v>7.0599999999999996E-2</v>
      </c>
      <c r="I461">
        <v>0.48</v>
      </c>
      <c r="J461">
        <v>8.65</v>
      </c>
      <c r="K461" t="b">
        <f t="shared" si="22"/>
        <v>1</v>
      </c>
      <c r="L461" t="b">
        <f t="shared" si="23"/>
        <v>1</v>
      </c>
    </row>
    <row r="462" spans="1:12" x14ac:dyDescent="0.3">
      <c r="A462" t="s">
        <v>475</v>
      </c>
      <c r="B462" t="s">
        <v>19</v>
      </c>
      <c r="C462">
        <v>16697806</v>
      </c>
      <c r="D462">
        <v>24385</v>
      </c>
      <c r="E462">
        <v>1151</v>
      </c>
      <c r="F462">
        <f t="shared" si="21"/>
        <v>684.76</v>
      </c>
      <c r="G462">
        <v>35299646</v>
      </c>
      <c r="H462">
        <v>0.12939999999999999</v>
      </c>
      <c r="I462">
        <v>0.6</v>
      </c>
      <c r="J462">
        <v>2.11</v>
      </c>
      <c r="K462" t="b">
        <f t="shared" si="22"/>
        <v>1</v>
      </c>
      <c r="L462" t="b">
        <f t="shared" si="23"/>
        <v>1</v>
      </c>
    </row>
    <row r="463" spans="1:12" x14ac:dyDescent="0.3">
      <c r="A463" t="s">
        <v>476</v>
      </c>
      <c r="B463" t="s">
        <v>17</v>
      </c>
      <c r="C463">
        <v>15979026</v>
      </c>
      <c r="D463">
        <v>28367</v>
      </c>
      <c r="E463">
        <v>687</v>
      </c>
      <c r="F463">
        <f t="shared" si="21"/>
        <v>563.29999999999995</v>
      </c>
      <c r="G463">
        <v>51196655</v>
      </c>
      <c r="H463">
        <v>0.1613</v>
      </c>
      <c r="I463">
        <v>0.44</v>
      </c>
      <c r="J463">
        <v>3.2</v>
      </c>
      <c r="K463" t="b">
        <f t="shared" si="22"/>
        <v>1</v>
      </c>
      <c r="L463" t="b">
        <f t="shared" si="23"/>
        <v>1</v>
      </c>
    </row>
    <row r="464" spans="1:12" x14ac:dyDescent="0.3">
      <c r="A464" t="s">
        <v>477</v>
      </c>
      <c r="B464" t="s">
        <v>19</v>
      </c>
      <c r="C464">
        <v>22376370</v>
      </c>
      <c r="D464">
        <v>33062</v>
      </c>
      <c r="E464">
        <v>600</v>
      </c>
      <c r="F464">
        <f t="shared" si="21"/>
        <v>676.8</v>
      </c>
      <c r="G464">
        <v>85271043</v>
      </c>
      <c r="H464">
        <v>0.16819999999999999</v>
      </c>
      <c r="I464">
        <v>0.56000000000000005</v>
      </c>
      <c r="J464">
        <v>3.81</v>
      </c>
      <c r="K464" t="b">
        <f t="shared" si="22"/>
        <v>1</v>
      </c>
      <c r="L464" t="b">
        <f t="shared" si="23"/>
        <v>1</v>
      </c>
    </row>
    <row r="465" spans="1:12" x14ac:dyDescent="0.3">
      <c r="A465" t="s">
        <v>478</v>
      </c>
      <c r="B465" t="s">
        <v>11</v>
      </c>
      <c r="C465">
        <v>44626444</v>
      </c>
      <c r="D465">
        <v>25416</v>
      </c>
      <c r="E465">
        <v>732</v>
      </c>
      <c r="F465">
        <f t="shared" si="21"/>
        <v>1755.84</v>
      </c>
      <c r="G465">
        <v>27920476</v>
      </c>
      <c r="H465">
        <v>0.13189999999999999</v>
      </c>
      <c r="I465">
        <v>0.28999999999999998</v>
      </c>
      <c r="J465">
        <v>0.63</v>
      </c>
      <c r="K465" t="b">
        <f t="shared" si="22"/>
        <v>1</v>
      </c>
      <c r="L465" t="b">
        <f t="shared" si="23"/>
        <v>1</v>
      </c>
    </row>
    <row r="466" spans="1:12" x14ac:dyDescent="0.3">
      <c r="A466" t="s">
        <v>479</v>
      </c>
      <c r="B466" t="s">
        <v>15</v>
      </c>
      <c r="C466">
        <v>30705274</v>
      </c>
      <c r="D466">
        <v>47389</v>
      </c>
      <c r="E466">
        <v>608</v>
      </c>
      <c r="F466">
        <f t="shared" si="21"/>
        <v>647.94000000000005</v>
      </c>
      <c r="G466">
        <v>61151157</v>
      </c>
      <c r="H466">
        <v>0.10340000000000001</v>
      </c>
      <c r="I466">
        <v>0.78</v>
      </c>
      <c r="J466">
        <v>1.99</v>
      </c>
      <c r="K466" t="b">
        <f t="shared" si="22"/>
        <v>1</v>
      </c>
      <c r="L466" t="b">
        <f t="shared" si="23"/>
        <v>1</v>
      </c>
    </row>
    <row r="467" spans="1:12" x14ac:dyDescent="0.3">
      <c r="A467" t="s">
        <v>480</v>
      </c>
      <c r="B467" t="s">
        <v>13</v>
      </c>
      <c r="C467">
        <v>9895030</v>
      </c>
      <c r="D467">
        <v>19636</v>
      </c>
      <c r="E467">
        <v>2204</v>
      </c>
      <c r="F467">
        <f t="shared" si="21"/>
        <v>503.92</v>
      </c>
      <c r="G467">
        <v>45919487</v>
      </c>
      <c r="H467">
        <v>4.1399999999999999E-2</v>
      </c>
      <c r="I467">
        <v>0.23</v>
      </c>
      <c r="J467">
        <v>4.6399999999999997</v>
      </c>
      <c r="K467" t="b">
        <f t="shared" si="22"/>
        <v>1</v>
      </c>
      <c r="L467" t="b">
        <f t="shared" si="23"/>
        <v>1</v>
      </c>
    </row>
    <row r="468" spans="1:12" x14ac:dyDescent="0.3">
      <c r="A468" t="s">
        <v>481</v>
      </c>
      <c r="B468" t="s">
        <v>11</v>
      </c>
      <c r="C468">
        <v>7953215</v>
      </c>
      <c r="D468">
        <v>5101</v>
      </c>
      <c r="E468">
        <v>2068</v>
      </c>
      <c r="F468">
        <f t="shared" si="21"/>
        <v>1559.15</v>
      </c>
      <c r="G468">
        <v>93503562</v>
      </c>
      <c r="H468">
        <v>7.4899999999999994E-2</v>
      </c>
      <c r="I468">
        <v>0.26</v>
      </c>
      <c r="J468">
        <v>11.76</v>
      </c>
      <c r="K468" t="b">
        <f t="shared" si="22"/>
        <v>1</v>
      </c>
      <c r="L468" t="b">
        <f t="shared" si="23"/>
        <v>1</v>
      </c>
    </row>
    <row r="469" spans="1:12" x14ac:dyDescent="0.3">
      <c r="A469" t="s">
        <v>482</v>
      </c>
      <c r="B469" t="s">
        <v>17</v>
      </c>
      <c r="C469">
        <v>22948162</v>
      </c>
      <c r="D469">
        <v>48928</v>
      </c>
      <c r="E469">
        <v>2228</v>
      </c>
      <c r="F469">
        <f t="shared" si="21"/>
        <v>469.02</v>
      </c>
      <c r="G469">
        <v>48608112</v>
      </c>
      <c r="H469">
        <v>0.16159999999999999</v>
      </c>
      <c r="I469">
        <v>0.56999999999999995</v>
      </c>
      <c r="J469">
        <v>2.12</v>
      </c>
      <c r="K469" t="b">
        <f t="shared" si="22"/>
        <v>1</v>
      </c>
      <c r="L469" t="b">
        <f t="shared" si="23"/>
        <v>1</v>
      </c>
    </row>
    <row r="470" spans="1:12" x14ac:dyDescent="0.3">
      <c r="A470" t="s">
        <v>483</v>
      </c>
      <c r="B470" t="s">
        <v>19</v>
      </c>
      <c r="C470">
        <v>45295886</v>
      </c>
      <c r="D470">
        <v>20992</v>
      </c>
      <c r="E470">
        <v>221</v>
      </c>
      <c r="F470">
        <f t="shared" si="21"/>
        <v>2157.77</v>
      </c>
      <c r="G470">
        <v>10347092</v>
      </c>
      <c r="H470">
        <v>9.6100000000000005E-2</v>
      </c>
      <c r="I470">
        <v>0.48</v>
      </c>
      <c r="J470">
        <v>0.23</v>
      </c>
      <c r="K470" t="b">
        <f t="shared" si="22"/>
        <v>1</v>
      </c>
      <c r="L470" t="b">
        <f t="shared" si="23"/>
        <v>1</v>
      </c>
    </row>
    <row r="471" spans="1:12" x14ac:dyDescent="0.3">
      <c r="A471" t="s">
        <v>484</v>
      </c>
      <c r="B471" t="s">
        <v>11</v>
      </c>
      <c r="C471">
        <v>48804485</v>
      </c>
      <c r="D471">
        <v>10055</v>
      </c>
      <c r="E471">
        <v>2216</v>
      </c>
      <c r="F471">
        <f t="shared" si="21"/>
        <v>4853.75</v>
      </c>
      <c r="G471">
        <v>41605627</v>
      </c>
      <c r="H471">
        <v>0.1754</v>
      </c>
      <c r="I471">
        <v>0.38</v>
      </c>
      <c r="J471">
        <v>0.85</v>
      </c>
      <c r="K471" t="b">
        <f t="shared" si="22"/>
        <v>1</v>
      </c>
      <c r="L471" t="b">
        <f t="shared" si="23"/>
        <v>1</v>
      </c>
    </row>
    <row r="472" spans="1:12" x14ac:dyDescent="0.3">
      <c r="A472" t="s">
        <v>485</v>
      </c>
      <c r="B472" t="s">
        <v>15</v>
      </c>
      <c r="C472">
        <v>41699003</v>
      </c>
      <c r="D472">
        <v>42053</v>
      </c>
      <c r="E472">
        <v>2052</v>
      </c>
      <c r="F472">
        <f t="shared" si="21"/>
        <v>991.58</v>
      </c>
      <c r="G472">
        <v>89708440</v>
      </c>
      <c r="H472">
        <v>9.3700000000000006E-2</v>
      </c>
      <c r="I472">
        <v>0.26</v>
      </c>
      <c r="J472">
        <v>2.15</v>
      </c>
      <c r="K472" t="b">
        <f t="shared" si="22"/>
        <v>1</v>
      </c>
      <c r="L472" t="b">
        <f t="shared" si="23"/>
        <v>1</v>
      </c>
    </row>
    <row r="473" spans="1:12" x14ac:dyDescent="0.3">
      <c r="A473" t="s">
        <v>486</v>
      </c>
      <c r="B473" t="s">
        <v>19</v>
      </c>
      <c r="C473">
        <v>44458027</v>
      </c>
      <c r="D473">
        <v>25669</v>
      </c>
      <c r="E473">
        <v>1908</v>
      </c>
      <c r="F473">
        <f t="shared" si="21"/>
        <v>1731.97</v>
      </c>
      <c r="G473">
        <v>22274767</v>
      </c>
      <c r="H473">
        <v>5.79E-2</v>
      </c>
      <c r="I473">
        <v>0.28000000000000003</v>
      </c>
      <c r="J473">
        <v>0.5</v>
      </c>
      <c r="K473" t="b">
        <f t="shared" si="22"/>
        <v>1</v>
      </c>
      <c r="L473" t="b">
        <f t="shared" si="23"/>
        <v>1</v>
      </c>
    </row>
    <row r="474" spans="1:12" x14ac:dyDescent="0.3">
      <c r="A474" t="s">
        <v>487</v>
      </c>
      <c r="B474" t="s">
        <v>15</v>
      </c>
      <c r="C474">
        <v>12974613</v>
      </c>
      <c r="D474">
        <v>47429</v>
      </c>
      <c r="E474">
        <v>1956</v>
      </c>
      <c r="F474">
        <f t="shared" si="21"/>
        <v>273.56</v>
      </c>
      <c r="G474">
        <v>85302229</v>
      </c>
      <c r="H474">
        <v>7.3200000000000001E-2</v>
      </c>
      <c r="I474">
        <v>0.72</v>
      </c>
      <c r="J474">
        <v>6.57</v>
      </c>
      <c r="K474" t="b">
        <f t="shared" si="22"/>
        <v>1</v>
      </c>
      <c r="L474" t="b">
        <f t="shared" si="23"/>
        <v>1</v>
      </c>
    </row>
    <row r="475" spans="1:12" x14ac:dyDescent="0.3">
      <c r="A475" t="s">
        <v>488</v>
      </c>
      <c r="B475" t="s">
        <v>13</v>
      </c>
      <c r="C475">
        <v>8578391</v>
      </c>
      <c r="D475">
        <v>37706</v>
      </c>
      <c r="E475">
        <v>1587</v>
      </c>
      <c r="F475">
        <f t="shared" si="21"/>
        <v>227.51</v>
      </c>
      <c r="G475">
        <v>21188636</v>
      </c>
      <c r="H475">
        <v>0.14319999999999999</v>
      </c>
      <c r="I475">
        <v>0.4</v>
      </c>
      <c r="J475">
        <v>2.4700000000000002</v>
      </c>
      <c r="K475" t="b">
        <f t="shared" si="22"/>
        <v>1</v>
      </c>
      <c r="L475" t="b">
        <f t="shared" si="23"/>
        <v>1</v>
      </c>
    </row>
    <row r="476" spans="1:12" x14ac:dyDescent="0.3">
      <c r="A476" t="s">
        <v>489</v>
      </c>
      <c r="B476" t="s">
        <v>15</v>
      </c>
      <c r="C476">
        <v>38971048</v>
      </c>
      <c r="D476">
        <v>19894</v>
      </c>
      <c r="E476">
        <v>1251</v>
      </c>
      <c r="F476">
        <f t="shared" si="21"/>
        <v>1958.93</v>
      </c>
      <c r="G476">
        <v>79273962</v>
      </c>
      <c r="H476">
        <v>3.3099999999999997E-2</v>
      </c>
      <c r="I476">
        <v>0.8</v>
      </c>
      <c r="J476">
        <v>2.0299999999999998</v>
      </c>
      <c r="K476" t="b">
        <f t="shared" si="22"/>
        <v>1</v>
      </c>
      <c r="L476" t="b">
        <f t="shared" si="23"/>
        <v>1</v>
      </c>
    </row>
    <row r="477" spans="1:12" x14ac:dyDescent="0.3">
      <c r="A477" t="s">
        <v>490</v>
      </c>
      <c r="B477" t="s">
        <v>15</v>
      </c>
      <c r="C477">
        <v>9322945</v>
      </c>
      <c r="D477">
        <v>10509</v>
      </c>
      <c r="E477">
        <v>335</v>
      </c>
      <c r="F477">
        <f t="shared" si="21"/>
        <v>887.14</v>
      </c>
      <c r="G477">
        <v>14303856</v>
      </c>
      <c r="H477">
        <v>0.1094</v>
      </c>
      <c r="I477">
        <v>0.32</v>
      </c>
      <c r="J477">
        <v>1.53</v>
      </c>
      <c r="K477" t="b">
        <f t="shared" si="22"/>
        <v>1</v>
      </c>
      <c r="L477" t="b">
        <f t="shared" si="23"/>
        <v>1</v>
      </c>
    </row>
    <row r="478" spans="1:12" x14ac:dyDescent="0.3">
      <c r="A478" t="s">
        <v>491</v>
      </c>
      <c r="B478" t="s">
        <v>17</v>
      </c>
      <c r="C478">
        <v>36411141</v>
      </c>
      <c r="D478">
        <v>6845</v>
      </c>
      <c r="E478">
        <v>785</v>
      </c>
      <c r="F478">
        <f t="shared" si="21"/>
        <v>5319.38</v>
      </c>
      <c r="G478">
        <v>93481423</v>
      </c>
      <c r="H478">
        <v>1.8599999999999998E-2</v>
      </c>
      <c r="I478">
        <v>0.25</v>
      </c>
      <c r="J478">
        <v>2.57</v>
      </c>
      <c r="K478" t="b">
        <f t="shared" si="22"/>
        <v>1</v>
      </c>
      <c r="L478" t="b">
        <f t="shared" si="23"/>
        <v>1</v>
      </c>
    </row>
    <row r="479" spans="1:12" x14ac:dyDescent="0.3">
      <c r="A479" t="s">
        <v>492</v>
      </c>
      <c r="B479" t="s">
        <v>15</v>
      </c>
      <c r="C479">
        <v>8628879</v>
      </c>
      <c r="D479">
        <v>29397</v>
      </c>
      <c r="E479">
        <v>2990</v>
      </c>
      <c r="F479">
        <f t="shared" si="21"/>
        <v>293.52999999999997</v>
      </c>
      <c r="G479">
        <v>25546478</v>
      </c>
      <c r="H479">
        <v>0.1328</v>
      </c>
      <c r="I479">
        <v>0.24</v>
      </c>
      <c r="J479">
        <v>2.96</v>
      </c>
      <c r="K479" t="b">
        <f t="shared" si="22"/>
        <v>1</v>
      </c>
      <c r="L479" t="b">
        <f t="shared" si="23"/>
        <v>1</v>
      </c>
    </row>
    <row r="480" spans="1:12" x14ac:dyDescent="0.3">
      <c r="A480" t="s">
        <v>493</v>
      </c>
      <c r="B480" t="s">
        <v>15</v>
      </c>
      <c r="C480">
        <v>38116046</v>
      </c>
      <c r="D480">
        <v>35130</v>
      </c>
      <c r="E480">
        <v>89</v>
      </c>
      <c r="F480">
        <f t="shared" si="21"/>
        <v>1085</v>
      </c>
      <c r="G480">
        <v>30224534</v>
      </c>
      <c r="H480">
        <v>0.1825</v>
      </c>
      <c r="I480">
        <v>0.47</v>
      </c>
      <c r="J480">
        <v>0.79</v>
      </c>
      <c r="K480" t="b">
        <f t="shared" si="22"/>
        <v>1</v>
      </c>
      <c r="L480" t="b">
        <f t="shared" si="23"/>
        <v>1</v>
      </c>
    </row>
    <row r="481" spans="1:12" x14ac:dyDescent="0.3">
      <c r="A481" t="s">
        <v>494</v>
      </c>
      <c r="B481" t="s">
        <v>19</v>
      </c>
      <c r="C481">
        <v>32324460</v>
      </c>
      <c r="D481">
        <v>43747</v>
      </c>
      <c r="E481">
        <v>2659</v>
      </c>
      <c r="F481">
        <f t="shared" si="21"/>
        <v>738.9</v>
      </c>
      <c r="G481">
        <v>74252118</v>
      </c>
      <c r="H481">
        <v>1.66E-2</v>
      </c>
      <c r="I481">
        <v>0.51</v>
      </c>
      <c r="J481">
        <v>2.2999999999999998</v>
      </c>
      <c r="K481" t="b">
        <f t="shared" si="22"/>
        <v>1</v>
      </c>
      <c r="L481" t="b">
        <f t="shared" si="23"/>
        <v>1</v>
      </c>
    </row>
    <row r="482" spans="1:12" x14ac:dyDescent="0.3">
      <c r="A482" t="s">
        <v>495</v>
      </c>
      <c r="B482" t="s">
        <v>17</v>
      </c>
      <c r="C482">
        <v>40765122</v>
      </c>
      <c r="D482">
        <v>35300</v>
      </c>
      <c r="E482">
        <v>120</v>
      </c>
      <c r="F482">
        <f t="shared" si="21"/>
        <v>1154.82</v>
      </c>
      <c r="G482">
        <v>12365162</v>
      </c>
      <c r="H482">
        <v>6.8900000000000003E-2</v>
      </c>
      <c r="I482">
        <v>0.28999999999999998</v>
      </c>
      <c r="J482">
        <v>0.3</v>
      </c>
      <c r="K482" t="b">
        <f t="shared" si="22"/>
        <v>1</v>
      </c>
      <c r="L482" t="b">
        <f t="shared" si="23"/>
        <v>1</v>
      </c>
    </row>
    <row r="483" spans="1:12" x14ac:dyDescent="0.3">
      <c r="A483" t="s">
        <v>496</v>
      </c>
      <c r="B483" t="s">
        <v>13</v>
      </c>
      <c r="C483">
        <v>7876185</v>
      </c>
      <c r="D483">
        <v>37656</v>
      </c>
      <c r="E483">
        <v>2997</v>
      </c>
      <c r="F483">
        <f t="shared" si="21"/>
        <v>209.16</v>
      </c>
      <c r="G483">
        <v>49049732</v>
      </c>
      <c r="H483">
        <v>0.17480000000000001</v>
      </c>
      <c r="I483">
        <v>0.59</v>
      </c>
      <c r="J483">
        <v>6.23</v>
      </c>
      <c r="K483" t="b">
        <f t="shared" si="22"/>
        <v>1</v>
      </c>
      <c r="L483" t="b">
        <f t="shared" si="23"/>
        <v>1</v>
      </c>
    </row>
    <row r="484" spans="1:12" x14ac:dyDescent="0.3">
      <c r="A484" t="s">
        <v>497</v>
      </c>
      <c r="B484" t="s">
        <v>19</v>
      </c>
      <c r="C484">
        <v>14588088</v>
      </c>
      <c r="D484">
        <v>22812</v>
      </c>
      <c r="E484">
        <v>472</v>
      </c>
      <c r="F484">
        <f t="shared" si="21"/>
        <v>639.49</v>
      </c>
      <c r="G484">
        <v>33302123</v>
      </c>
      <c r="H484">
        <v>0.19850000000000001</v>
      </c>
      <c r="I484">
        <v>0.48</v>
      </c>
      <c r="J484">
        <v>2.2799999999999998</v>
      </c>
      <c r="K484" t="b">
        <f t="shared" si="22"/>
        <v>1</v>
      </c>
      <c r="L484" t="b">
        <f t="shared" si="23"/>
        <v>1</v>
      </c>
    </row>
    <row r="485" spans="1:12" x14ac:dyDescent="0.3">
      <c r="A485" t="s">
        <v>498</v>
      </c>
      <c r="B485" t="s">
        <v>17</v>
      </c>
      <c r="C485">
        <v>21584405</v>
      </c>
      <c r="D485">
        <v>18919</v>
      </c>
      <c r="E485">
        <v>942</v>
      </c>
      <c r="F485">
        <f t="shared" si="21"/>
        <v>1140.8900000000001</v>
      </c>
      <c r="G485">
        <v>24104297</v>
      </c>
      <c r="H485">
        <v>4.2700000000000002E-2</v>
      </c>
      <c r="I485">
        <v>0.78</v>
      </c>
      <c r="J485">
        <v>1.1200000000000001</v>
      </c>
      <c r="K485" t="b">
        <f t="shared" si="22"/>
        <v>1</v>
      </c>
      <c r="L485" t="b">
        <f t="shared" si="23"/>
        <v>1</v>
      </c>
    </row>
  </sheetData>
  <autoFilter ref="A1:L485" xr:uid="{74711BFC-8F7F-46EF-89D5-BD51AFFA8E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Marketing_Analysis_Deep_New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 Quoc Cuong</cp:lastModifiedBy>
  <dcterms:created xsi:type="dcterms:W3CDTF">2025-09-26T09:40:36Z</dcterms:created>
  <dcterms:modified xsi:type="dcterms:W3CDTF">2026-06-12T09:25:45Z</dcterms:modified>
</cp:coreProperties>
</file>